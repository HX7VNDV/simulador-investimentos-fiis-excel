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PROJEÇÃO" sheetId="2" state="visible" r:id="rId4"/>
    <sheet name="BASE_FII" sheetId="3" state="visible" r:id="rId5"/>
  </sheets>
  <definedNames>
    <definedName function="false" hidden="false" name="APORTE" vbProcedure="false">SIMULADOR!$D$8</definedName>
    <definedName function="false" hidden="false" name="DY_MENSAL" vbProcedure="false">SIMULADOR!$D$12</definedName>
    <definedName function="false" hidden="false" name="PATRIMONIO_INICIAL" vbProcedure="false">SIMULADOR!$D$9</definedName>
    <definedName function="false" hidden="false" name="PERCENTUAL_INVESTIMENTO" vbProcedure="false">SIMULADOR!$D$6</definedName>
    <definedName function="false" hidden="false" name="PERFIL" vbProcedure="false">SIMULADOR!$D$13</definedName>
    <definedName function="false" hidden="false" name="PRAZO_ANOS" vbProcedure="false">SIMULADOR!$D$10</definedName>
    <definedName function="false" hidden="false" name="SALARIO" vbProcedure="false">SIMULADOR!$D$5</definedName>
    <definedName function="false" hidden="false" name="TAXA_MENSAL" vbProcedure="false">SIMULADOR!$D$11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<sst xmlns="http://schemas.openxmlformats.org/spreadsheetml/2006/main" count="78" uniqueCount="65">
  <si>
    <t xml:space="preserve">SIMULADOR DE INVESTIMENTOS EM FIIs</t>
  </si>
  <si>
    <t xml:space="preserve">Projeção de patrimônio, rendimentos e distribuição de carteira em Fundos de Investimento Imobiliário</t>
  </si>
  <si>
    <t xml:space="preserve">1 · DADOS DO INVESTIDOR</t>
  </si>
  <si>
    <t xml:space="preserve">2 · RESULTADOS DA SIMULAÇÃO</t>
  </si>
  <si>
    <t xml:space="preserve">Salário mensal</t>
  </si>
  <si>
    <t xml:space="preserve">Total aportado no período</t>
  </si>
  <si>
    <t xml:space="preserve">% da renda p/ investimentos</t>
  </si>
  <si>
    <t xml:space="preserve">Patrimônio final projetado</t>
  </si>
  <si>
    <t xml:space="preserve">Sugestão de aporte (calculada)</t>
  </si>
  <si>
    <t xml:space="preserve">Total de rendimentos obtidos</t>
  </si>
  <si>
    <t xml:space="preserve">Aporte mensal (definido pelo usuário)</t>
  </si>
  <si>
    <t xml:space="preserve">Dividendos mensais estimados</t>
  </si>
  <si>
    <t xml:space="preserve">Patrimônio inicial</t>
  </si>
  <si>
    <t xml:space="preserve">Dividendos anuais estimados</t>
  </si>
  <si>
    <t xml:space="preserve">Prazo do investimento (anos)</t>
  </si>
  <si>
    <t xml:space="preserve">Perfil selecionado</t>
  </si>
  <si>
    <t xml:space="preserve">Taxa de rendimento mensal esperada</t>
  </si>
  <si>
    <t xml:space="preserve">Rendimento sobre o aportado</t>
  </si>
  <si>
    <t xml:space="preserve">Dividend Yield mensal estimado</t>
  </si>
  <si>
    <t xml:space="preserve">Perfil do investidor</t>
  </si>
  <si>
    <t xml:space="preserve">Moderado</t>
  </si>
  <si>
    <t xml:space="preserve">Aporte informado vs. sugerido</t>
  </si>
  <si>
    <t xml:space="preserve">3 · CENÁRIOS POR PRAZO (usa o aporte e as taxas informadas acima)</t>
  </si>
  <si>
    <t xml:space="preserve">Prazo (anos)</t>
  </si>
  <si>
    <t xml:space="preserve">Total aportado</t>
  </si>
  <si>
    <t xml:space="preserve">Patrimônio projetado</t>
  </si>
  <si>
    <t xml:space="preserve">Rendimento acumulado</t>
  </si>
  <si>
    <t xml:space="preserve">Dividendos mensais</t>
  </si>
  <si>
    <t xml:space="preserve">4 · SUGESTÃO DE CARTEIRA — distribuição por tipo de FII conforme o perfil selecionado</t>
  </si>
  <si>
    <t xml:space="preserve">Tipo de FII</t>
  </si>
  <si>
    <t xml:space="preserve">Percentual sugerido</t>
  </si>
  <si>
    <t xml:space="preserve">Valor mensal destinado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</si>
  <si>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</si>
  <si>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</si>
  <si>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</si>
  <si>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</si>
  <si>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</si>
  <si>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</t>
  </si>
  <si>
    <t xml:space="preserve">TOTAL</t>
  </si>
  <si>
    <t xml:space="preserve">5 · VISUALIZAÇÃO GRÁFICA</t>
  </si>
  <si>
    <t xml:space="preserve">Células em amarelo = campos editáveis pelo usuário  ·  Células em cinza = calculadas automaticamente pela planilha</t>
  </si>
  <si>
    <t xml:space="preserve">PROJEÇÃO MÊS A MÊS — EVOLUÇÃO DO PATRIMÔNIO (360 MESES / 30 ANOS)</t>
  </si>
  <si>
    <t xml:space="preserve">Mês</t>
  </si>
  <si>
    <t xml:space="preserve">Ano</t>
  </si>
  <si>
    <t xml:space="preserve">Saldo inicial</t>
  </si>
  <si>
    <t xml:space="preserve">Aporte</t>
  </si>
  <si>
    <t xml:space="preserve">Rendimento do mês</t>
  </si>
  <si>
    <t xml:space="preserve">Saldo final</t>
  </si>
  <si>
    <t xml:space="preserve">Dividendos estimados</t>
  </si>
  <si>
    <t xml:space="preserve">Total aportado (acum.)</t>
  </si>
  <si>
    <t xml:space="preserve">BASE DE PARÂMETROS — PERFIS E TIPOS DE FII</t>
  </si>
  <si>
    <t xml:space="preserve">Matriz de distribuição percentual sugerida por perfil de investidor. Valores de referência para fins didáticos — cada linha soma 100%.</t>
  </si>
  <si>
    <t xml:space="preserve">MATRIZ DE ALOCAÇÃO POR PERFIL (% do aporte mensal)</t>
  </si>
  <si>
    <t xml:space="preserve">Perfil</t>
  </si>
  <si>
    <t xml:space="preserve">Total</t>
  </si>
  <si>
    <t xml:space="preserve">Conservador</t>
  </si>
  <si>
    <t xml:space="preserve">Agressivo</t>
  </si>
  <si>
    <t xml:space="preserve">Lista de perfis válidos (origem da validação em SIMULADOR!D13):</t>
  </si>
  <si>
    <t xml:space="preserve">TIPOS DE FII — DESCRIÇÃO CONCEITUAL</t>
  </si>
  <si>
    <t xml:space="preserve">Fundos que investem em títulos de renda fixa imobiliária (CRI, LCI).</t>
  </si>
  <si>
    <t xml:space="preserve">Fundos que investem diretamente em imóveis físicos (lajes, galpões, shoppings).</t>
  </si>
  <si>
    <t xml:space="preserve">Combinam ativos de papel e de tijolo na mesma carteira.</t>
  </si>
  <si>
    <t xml:space="preserve">Fundo de Fundos: investem em cotas de outros FIIs.</t>
  </si>
  <si>
    <t xml:space="preserve">Fundos voltados à construção e incorporação de novos empreendimentos.</t>
  </si>
  <si>
    <t xml:space="preserve">Fundos especializados em empreendimentos hoteleiros.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</si>
</sst>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;[RED]&quot;-R$ &quot;#,##0"/>
    <numFmt numFmtId="166" formatCode="0.0%"/>
    <numFmt numFmtId="167" formatCode="0"/>
    <numFmt numFmtId="168" formatCode="0.00%"/>
    <numFmt numFmtId="169" formatCode="0&quot;  anos&quot;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.5"/>
      <color rgb="FF333333"/>
      <name val="Calibri"/>
      <family val="0"/>
      <charset val="1"/>
    </font>
    <font>
      <b val="true"/>
      <sz val="11"/>
      <color rgb="FF1B4F72"/>
      <name val="Calibri"/>
      <family val="0"/>
      <charset val="1"/>
    </font>
    <font>
      <sz val="10.5"/>
      <color rgb="FF2C3E50"/>
      <name val="Calibri"/>
      <family val="0"/>
      <charset val="1"/>
    </font>
    <font>
      <b val="true"/>
      <sz val="12"/>
      <color rgb="FF1F3B57"/>
      <name val="Calibri"/>
      <family val="0"/>
      <charset val="1"/>
    </font>
    <font>
      <b val="true"/>
      <sz val="11"/>
      <color rgb="FF2E8B8B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11"/>
      <color rgb="FF1F3B57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sz val="9.5"/>
      <color rgb="FF333333"/>
      <name val="Calibri"/>
      <family val="0"/>
      <charset val="1"/>
    </font>
    <font>
      <i val="true"/>
      <sz val="9.5"/>
      <color rgb="FF555555"/>
      <name val="Calibri"/>
      <family val="0"/>
      <charset val="1"/>
    </font>
    <font>
      <b val="true"/>
      <sz val="10.5"/>
      <color rgb="FF1F3B57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i val="true"/>
      <sz val="9"/>
      <color rgb="FF777777"/>
      <name val="Calibri"/>
      <family val="0"/>
      <charset val="1"/>
    </font>
    <font>
      <b val="true"/>
      <sz val="10"/>
      <color rgb="FF1F3B57"/>
      <name val="Calibri"/>
      <family val="0"/>
      <charset val="1"/>
    </font>
    <font>
      <sz val="9.5"/>
      <color rgb="FF444444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B57"/>
        <bgColor rgb="FF2C3E50"/>
      </patternFill>
    </fill>
    <fill>
      <patternFill patternType="solid">
        <fgColor rgb="FF16293C"/>
        <bgColor rgb="FF1A1A1A"/>
      </patternFill>
    </fill>
    <fill>
      <patternFill patternType="solid">
        <fgColor rgb="FFF4F6F8"/>
        <bgColor rgb="FFF7F9FB"/>
      </patternFill>
    </fill>
    <fill>
      <patternFill patternType="solid">
        <fgColor rgb="FF2E8B8B"/>
        <bgColor rgb="FF3E7CB1"/>
      </patternFill>
    </fill>
    <fill>
      <patternFill patternType="solid">
        <fgColor rgb="FFFFF6D9"/>
        <bgColor rgb="FFF4F6F8"/>
      </patternFill>
    </fill>
    <fill>
      <patternFill patternType="solid">
        <fgColor rgb="FFEDF2F7"/>
        <bgColor rgb="FFF4F6F8"/>
      </patternFill>
    </fill>
    <fill>
      <patternFill patternType="solid">
        <fgColor rgb="FF3E7CB1"/>
        <bgColor rgb="FF4F81BD"/>
      </patternFill>
    </fill>
    <fill>
      <patternFill patternType="solid">
        <fgColor rgb="FFFFFFFF"/>
        <bgColor rgb="FFF7F9FB"/>
      </patternFill>
    </fill>
    <fill>
      <patternFill patternType="solid">
        <fgColor rgb="FFF7F9FB"/>
        <bgColor rgb="FFF4F6F8"/>
      </patternFill>
    </fill>
    <fill>
      <patternFill patternType="solid">
        <fgColor rgb="FFEAF7EE"/>
        <bgColor rgb="FFEDF2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 diagonalUp="false" diagonalDown="false">
      <left style="thin">
        <color rgb="FFD9DEE4"/>
      </left>
      <right/>
      <top style="thin">
        <color rgb="FFD9DEE4"/>
      </top>
      <bottom style="thin">
        <color rgb="FFD9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777777"/>
      <rgbColor rgb="FF800080"/>
      <rgbColor rgb="FF4F81BD"/>
      <rgbColor rgb="FFD9D9D9"/>
      <rgbColor rgb="FF878787"/>
      <rgbColor rgb="FF7FB3D5"/>
      <rgbColor rgb="FF555555"/>
      <rgbColor rgb="FFFFF6D9"/>
      <rgbColor rgb="FFEAF7EE"/>
      <rgbColor rgb="FF660066"/>
      <rgbColor rgb="FFFF8080"/>
      <rgbColor rgb="FF1B4F72"/>
      <rgbColor rgb="FFC9D6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F4F6F8"/>
      <rgbColor rgb="FFF7F9FB"/>
      <rgbColor rgb="FFA9CCE3"/>
      <rgbColor rgb="FFFF99CC"/>
      <rgbColor rgb="FFCC99FF"/>
      <rgbColor rgb="FFD9DEE4"/>
      <rgbColor rgb="FF3E7CB1"/>
      <rgbColor rgb="FF33CCCC"/>
      <rgbColor rgb="FF99CC00"/>
      <rgbColor rgb="FFFFCC00"/>
      <rgbColor rgb="FFFF9900"/>
      <rgbColor rgb="FFFF6600"/>
      <rgbColor rgb="FF6B7280"/>
      <rgbColor rgb="FF9AA5B1"/>
      <rgbColor rgb="FF1F3B57"/>
      <rgbColor rgb="FF2E8B8B"/>
      <rgbColor rgb="FF16293C"/>
      <rgbColor rgb="FF1A1A1A"/>
      <rgbColor rgb="FF993300"/>
      <rgbColor rgb="FF444444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Patrimônio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PROJEÇÃO!F2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1f3b57"/>
            </a:solidFill>
            <a:ln w="21960">
              <a:solidFill>
                <a:srgbClr val="1f3b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PROJEÇÃO!$A$3:$A$362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cat>
          <c:val>
            <c:numRef>
              <c:f>PROJEÇÃO!$F$3:$F$362</c:f>
              <c:numCache>
                <c:formatCode>"R$ "#,##0;[RED]"-R$ "#,##0</c:formatCode>
                <c:ptCount val="360"/>
                <c:pt idx="0">
                  <c:v>6040</c:v>
                </c:pt>
                <c:pt idx="1">
                  <c:v>7088.32</c:v>
                </c:pt>
                <c:pt idx="2">
                  <c:v>8145.02656</c:v>
                </c:pt>
                <c:pt idx="3">
                  <c:v>9210.18677248</c:v>
                </c:pt>
                <c:pt idx="4">
                  <c:v>10283.8682666598</c:v>
                </c:pt>
                <c:pt idx="5">
                  <c:v>11366.1392127931</c:v>
                </c:pt>
                <c:pt idx="6">
                  <c:v>12457.0683264955</c:v>
                </c:pt>
                <c:pt idx="7">
                  <c:v>13556.7248731074</c:v>
                </c:pt>
                <c:pt idx="8">
                  <c:v>14665.1786720923</c:v>
                </c:pt>
                <c:pt idx="9">
                  <c:v>15782.500101469</c:v>
                </c:pt>
                <c:pt idx="10">
                  <c:v>16908.7601022808</c:v>
                </c:pt>
                <c:pt idx="11">
                  <c:v>18044.030183099</c:v>
                </c:pt>
                <c:pt idx="12">
                  <c:v>19188.3824245638</c:v>
                </c:pt>
                <c:pt idx="13">
                  <c:v>20341.8894839603</c:v>
                </c:pt>
                <c:pt idx="14">
                  <c:v>21504.624599832</c:v>
                </c:pt>
                <c:pt idx="15">
                  <c:v>22676.6615966307</c:v>
                </c:pt>
                <c:pt idx="16">
                  <c:v>23858.0748894037</c:v>
                </c:pt>
                <c:pt idx="17">
                  <c:v>25048.9394885189</c:v>
                </c:pt>
                <c:pt idx="18">
                  <c:v>26249.3310044271</c:v>
                </c:pt>
                <c:pt idx="19">
                  <c:v>27459.3256524625</c:v>
                </c:pt>
                <c:pt idx="20">
                  <c:v>28679.0002576822</c:v>
                </c:pt>
                <c:pt idx="21">
                  <c:v>29908.4322597437</c:v>
                </c:pt>
                <c:pt idx="22">
                  <c:v>31147.6997178216</c:v>
                </c:pt>
                <c:pt idx="23">
                  <c:v>32396.8813155642</c:v>
                </c:pt>
                <c:pt idx="24">
                  <c:v>33656.0563660887</c:v>
                </c:pt>
                <c:pt idx="25">
                  <c:v>34925.3048170174</c:v>
                </c:pt>
                <c:pt idx="26">
                  <c:v>36204.7072555536</c:v>
                </c:pt>
                <c:pt idx="27">
                  <c:v>37494.344913598</c:v>
                </c:pt>
                <c:pt idx="28">
                  <c:v>38794.2996729068</c:v>
                </c:pt>
                <c:pt idx="29">
                  <c:v>40104.65407029</c:v>
                </c:pt>
                <c:pt idx="30">
                  <c:v>41425.4913028523</c:v>
                </c:pt>
                <c:pt idx="31">
                  <c:v>42756.8952332752</c:v>
                </c:pt>
                <c:pt idx="32">
                  <c:v>44098.9503951414</c:v>
                </c:pt>
                <c:pt idx="33">
                  <c:v>45451.7419983025</c:v>
                </c:pt>
                <c:pt idx="34">
                  <c:v>46815.3559342889</c:v>
                </c:pt>
                <c:pt idx="35">
                  <c:v>48189.8787817632</c:v>
                </c:pt>
                <c:pt idx="36">
                  <c:v>49575.3978120173</c:v>
                </c:pt>
                <c:pt idx="37">
                  <c:v>50972.0009945135</c:v>
                </c:pt>
                <c:pt idx="38">
                  <c:v>52379.7770024696</c:v>
                </c:pt>
                <c:pt idx="39">
                  <c:v>53798.8152184893</c:v>
                </c:pt>
                <c:pt idx="40">
                  <c:v>55229.2057402372</c:v>
                </c:pt>
                <c:pt idx="41">
                  <c:v>56671.0393861591</c:v>
                </c:pt>
                <c:pt idx="42">
                  <c:v>58124.4077012484</c:v>
                </c:pt>
                <c:pt idx="43">
                  <c:v>59589.4029628584</c:v>
                </c:pt>
                <c:pt idx="44">
                  <c:v>61066.1181865613</c:v>
                </c:pt>
                <c:pt idx="45">
                  <c:v>62554.6471320538</c:v>
                </c:pt>
                <c:pt idx="46">
                  <c:v>64055.0843091102</c:v>
                </c:pt>
                <c:pt idx="47">
                  <c:v>65567.5249835831</c:v>
                </c:pt>
                <c:pt idx="48">
                  <c:v>67092.0651834517</c:v>
                </c:pt>
                <c:pt idx="49">
                  <c:v>68628.8017049193</c:v>
                </c:pt>
                <c:pt idx="50">
                  <c:v>70177.8321185587</c:v>
                </c:pt>
                <c:pt idx="51">
                  <c:v>71739.2547755072</c:v>
                </c:pt>
                <c:pt idx="52">
                  <c:v>73313.1688137112</c:v>
                </c:pt>
                <c:pt idx="53">
                  <c:v>74899.6741642209</c:v>
                </c:pt>
                <c:pt idx="54">
                  <c:v>76498.8715575347</c:v>
                </c:pt>
                <c:pt idx="55">
                  <c:v>78110.862529995</c:v>
                </c:pt>
                <c:pt idx="56">
                  <c:v>79735.7494302349</c:v>
                </c:pt>
                <c:pt idx="57">
                  <c:v>81373.6354256768</c:v>
                </c:pt>
                <c:pt idx="58">
                  <c:v>83024.6245090822</c:v>
                </c:pt>
                <c:pt idx="59">
                  <c:v>84688.8215051549</c:v>
                </c:pt>
                <c:pt idx="60">
                  <c:v>86366.3320771961</c:v>
                </c:pt>
                <c:pt idx="61">
                  <c:v>88057.2627338137</c:v>
                </c:pt>
                <c:pt idx="62">
                  <c:v>89761.7208356842</c:v>
                </c:pt>
                <c:pt idx="63">
                  <c:v>91479.8146023697</c:v>
                </c:pt>
                <c:pt idx="64">
                  <c:v>93211.6531191886</c:v>
                </c:pt>
                <c:pt idx="65">
                  <c:v>94957.3463441421</c:v>
                </c:pt>
                <c:pt idx="66">
                  <c:v>96717.0051148953</c:v>
                </c:pt>
                <c:pt idx="67">
                  <c:v>98490.7411558144</c:v>
                </c:pt>
                <c:pt idx="68">
                  <c:v>100278.667085061</c:v>
                </c:pt>
                <c:pt idx="69">
                  <c:v>102080.896421741</c:v>
                </c:pt>
                <c:pt idx="70">
                  <c:v>103897.543593115</c:v>
                </c:pt>
                <c:pt idx="71">
                  <c:v>105728.72394186</c:v>
                </c:pt>
                <c:pt idx="72">
                  <c:v>107574.553733395</c:v>
                </c:pt>
                <c:pt idx="73">
                  <c:v>109435.150163262</c:v>
                </c:pt>
                <c:pt idx="74">
                  <c:v>111310.631364568</c:v>
                </c:pt>
                <c:pt idx="75">
                  <c:v>113201.116415485</c:v>
                </c:pt>
                <c:pt idx="76">
                  <c:v>115106.725346809</c:v>
                </c:pt>
                <c:pt idx="77">
                  <c:v>117027.579149583</c:v>
                </c:pt>
                <c:pt idx="78">
                  <c:v>118963.79978278</c:v>
                </c:pt>
                <c:pt idx="79">
                  <c:v>120915.510181042</c:v>
                </c:pt>
                <c:pt idx="80">
                  <c:v>122882.834262491</c:v>
                </c:pt>
                <c:pt idx="81">
                  <c:v>124865.89693659</c:v>
                </c:pt>
                <c:pt idx="82">
                  <c:v>126864.824112083</c:v>
                </c:pt>
                <c:pt idx="83">
                  <c:v>128879.74270498</c:v>
                </c:pt>
                <c:pt idx="84">
                  <c:v>130910.78064662</c:v>
                </c:pt>
                <c:pt idx="85">
                  <c:v>132958.066891793</c:v>
                </c:pt>
                <c:pt idx="86">
                  <c:v>135021.731426927</c:v>
                </c:pt>
                <c:pt idx="87">
                  <c:v>137101.905278342</c:v>
                </c:pt>
                <c:pt idx="88">
                  <c:v>139198.720520569</c:v>
                </c:pt>
                <c:pt idx="89">
                  <c:v>141312.310284734</c:v>
                </c:pt>
                <c:pt idx="90">
                  <c:v>143442.808767012</c:v>
                </c:pt>
                <c:pt idx="91">
                  <c:v>145590.351237148</c:v>
                </c:pt>
                <c:pt idx="92">
                  <c:v>147755.074047045</c:v>
                </c:pt>
                <c:pt idx="93">
                  <c:v>149937.114639421</c:v>
                </c:pt>
                <c:pt idx="94">
                  <c:v>152136.611556537</c:v>
                </c:pt>
                <c:pt idx="95">
                  <c:v>154353.704448989</c:v>
                </c:pt>
                <c:pt idx="96">
                  <c:v>156588.534084581</c:v>
                </c:pt>
                <c:pt idx="97">
                  <c:v>158841.242357257</c:v>
                </c:pt>
                <c:pt idx="98">
                  <c:v>161111.972296116</c:v>
                </c:pt>
                <c:pt idx="99">
                  <c:v>163400.868074484</c:v>
                </c:pt>
                <c:pt idx="100">
                  <c:v>165708.07501908</c:v>
                </c:pt>
                <c:pt idx="101">
                  <c:v>168033.739619233</c:v>
                </c:pt>
                <c:pt idx="102">
                  <c:v>170378.009536187</c:v>
                </c:pt>
                <c:pt idx="103">
                  <c:v>172741.033612476</c:v>
                </c:pt>
                <c:pt idx="104">
                  <c:v>175122.961881376</c:v>
                </c:pt>
                <c:pt idx="105">
                  <c:v>177523.945576427</c:v>
                </c:pt>
                <c:pt idx="106">
                  <c:v>179944.137141039</c:v>
                </c:pt>
                <c:pt idx="107">
                  <c:v>182383.690238167</c:v>
                </c:pt>
                <c:pt idx="108">
                  <c:v>184842.759760072</c:v>
                </c:pt>
                <c:pt idx="109">
                  <c:v>187321.501838153</c:v>
                </c:pt>
                <c:pt idx="110">
                  <c:v>189820.073852858</c:v>
                </c:pt>
                <c:pt idx="111">
                  <c:v>192338.634443681</c:v>
                </c:pt>
                <c:pt idx="112">
                  <c:v>194877.34351923</c:v>
                </c:pt>
                <c:pt idx="113">
                  <c:v>197436.362267384</c:v>
                </c:pt>
                <c:pt idx="114">
                  <c:v>200015.853165523</c:v>
                </c:pt>
                <c:pt idx="115">
                  <c:v>202615.979990847</c:v>
                </c:pt>
                <c:pt idx="116">
                  <c:v>205236.907830774</c:v>
                </c:pt>
                <c:pt idx="117">
                  <c:v>207878.80309342</c:v>
                </c:pt>
                <c:pt idx="118">
                  <c:v>210541.833518168</c:v>
                </c:pt>
                <c:pt idx="119">
                  <c:v>213226.168186313</c:v>
                </c:pt>
                <c:pt idx="120">
                  <c:v>215931.977531804</c:v>
                </c:pt>
                <c:pt idx="121">
                  <c:v>218659.433352058</c:v>
                </c:pt>
                <c:pt idx="122">
                  <c:v>221408.708818875</c:v>
                </c:pt>
                <c:pt idx="123">
                  <c:v>224179.978489426</c:v>
                </c:pt>
                <c:pt idx="124">
                  <c:v>226973.418317341</c:v>
                </c:pt>
                <c:pt idx="125">
                  <c:v>229789.20566388</c:v>
                </c:pt>
                <c:pt idx="126">
                  <c:v>232627.519309191</c:v>
                </c:pt>
                <c:pt idx="127">
                  <c:v>235488.539463664</c:v>
                </c:pt>
                <c:pt idx="128">
                  <c:v>238372.447779374</c:v>
                </c:pt>
                <c:pt idx="129">
                  <c:v>241279.427361609</c:v>
                </c:pt>
                <c:pt idx="130">
                  <c:v>244209.662780501</c:v>
                </c:pt>
                <c:pt idx="131">
                  <c:v>247163.340082745</c:v>
                </c:pt>
                <c:pt idx="132">
                  <c:v>250140.646803407</c:v>
                </c:pt>
                <c:pt idx="133">
                  <c:v>253141.771977835</c:v>
                </c:pt>
                <c:pt idx="134">
                  <c:v>256166.906153657</c:v>
                </c:pt>
                <c:pt idx="135">
                  <c:v>259216.241402887</c:v>
                </c:pt>
                <c:pt idx="136">
                  <c:v>262289.97133411</c:v>
                </c:pt>
                <c:pt idx="137">
                  <c:v>265388.291104783</c:v>
                </c:pt>
                <c:pt idx="138">
                  <c:v>268511.397433621</c:v>
                </c:pt>
                <c:pt idx="139">
                  <c:v>271659.48861309</c:v>
                </c:pt>
                <c:pt idx="140">
                  <c:v>274832.764521994</c:v>
                </c:pt>
                <c:pt idx="141">
                  <c:v>278031.42663817</c:v>
                </c:pt>
                <c:pt idx="142">
                  <c:v>281255.678051276</c:v>
                </c:pt>
                <c:pt idx="143">
                  <c:v>284505.723475686</c:v>
                </c:pt>
                <c:pt idx="144">
                  <c:v>287781.769263492</c:v>
                </c:pt>
                <c:pt idx="145">
                  <c:v>291084.023417599</c:v>
                </c:pt>
                <c:pt idx="146">
                  <c:v>294412.69560494</c:v>
                </c:pt>
                <c:pt idx="147">
                  <c:v>297767.99716978</c:v>
                </c:pt>
                <c:pt idx="148">
                  <c:v>301150.141147138</c:v>
                </c:pt>
                <c:pt idx="149">
                  <c:v>304559.342276315</c:v>
                </c:pt>
                <c:pt idx="150">
                  <c:v>307995.817014526</c:v>
                </c:pt>
                <c:pt idx="151">
                  <c:v>311459.783550642</c:v>
                </c:pt>
                <c:pt idx="152">
                  <c:v>314951.461819047</c:v>
                </c:pt>
                <c:pt idx="153">
                  <c:v>318471.073513599</c:v>
                </c:pt>
                <c:pt idx="154">
                  <c:v>322018.842101708</c:v>
                </c:pt>
                <c:pt idx="155">
                  <c:v>325594.992838522</c:v>
                </c:pt>
                <c:pt idx="156">
                  <c:v>329199.75278123</c:v>
                </c:pt>
                <c:pt idx="157">
                  <c:v>332833.35080348</c:v>
                </c:pt>
                <c:pt idx="158">
                  <c:v>336496.017609908</c:v>
                </c:pt>
                <c:pt idx="159">
                  <c:v>340187.985750787</c:v>
                </c:pt>
                <c:pt idx="160">
                  <c:v>343909.489636793</c:v>
                </c:pt>
                <c:pt idx="161">
                  <c:v>347660.765553887</c:v>
                </c:pt>
                <c:pt idx="162">
                  <c:v>351442.051678319</c:v>
                </c:pt>
                <c:pt idx="163">
                  <c:v>355253.588091745</c:v>
                </c:pt>
                <c:pt idx="164">
                  <c:v>359095.616796479</c:v>
                </c:pt>
                <c:pt idx="165">
                  <c:v>362968.381730851</c:v>
                </c:pt>
                <c:pt idx="166">
                  <c:v>366872.128784698</c:v>
                </c:pt>
                <c:pt idx="167">
                  <c:v>370807.105814975</c:v>
                </c:pt>
                <c:pt idx="168">
                  <c:v>374773.562661495</c:v>
                </c:pt>
                <c:pt idx="169">
                  <c:v>378771.751162787</c:v>
                </c:pt>
                <c:pt idx="170">
                  <c:v>382801.925172089</c:v>
                </c:pt>
                <c:pt idx="171">
                  <c:v>386864.340573466</c:v>
                </c:pt>
                <c:pt idx="172">
                  <c:v>390959.255298054</c:v>
                </c:pt>
                <c:pt idx="173">
                  <c:v>395086.929340438</c:v>
                </c:pt>
                <c:pt idx="174">
                  <c:v>399247.624775162</c:v>
                </c:pt>
                <c:pt idx="175">
                  <c:v>403441.605773363</c:v>
                </c:pt>
                <c:pt idx="176">
                  <c:v>407669.13861955</c:v>
                </c:pt>
                <c:pt idx="177">
                  <c:v>411930.491728506</c:v>
                </c:pt>
                <c:pt idx="178">
                  <c:v>416225.935662334</c:v>
                </c:pt>
                <c:pt idx="179">
                  <c:v>420555.743147633</c:v>
                </c:pt>
                <c:pt idx="180">
                  <c:v>424920.189092814</c:v>
                </c:pt>
                <c:pt idx="181">
                  <c:v>429319.550605557</c:v>
                </c:pt>
                <c:pt idx="182">
                  <c:v>433754.107010401</c:v>
                </c:pt>
                <c:pt idx="183">
                  <c:v>438224.139866484</c:v>
                </c:pt>
                <c:pt idx="184">
                  <c:v>442729.932985416</c:v>
                </c:pt>
                <c:pt idx="185">
                  <c:v>447271.772449299</c:v>
                </c:pt>
                <c:pt idx="186">
                  <c:v>451849.946628894</c:v>
                </c:pt>
                <c:pt idx="187">
                  <c:v>456464.746201925</c:v>
                </c:pt>
                <c:pt idx="188">
                  <c:v>461116.46417154</c:v>
                </c:pt>
                <c:pt idx="189">
                  <c:v>465805.395884913</c:v>
                </c:pt>
                <c:pt idx="190">
                  <c:v>470531.839051992</c:v>
                </c:pt>
                <c:pt idx="191">
                  <c:v>475296.093764408</c:v>
                </c:pt>
                <c:pt idx="192">
                  <c:v>480098.462514523</c:v>
                </c:pt>
                <c:pt idx="193">
                  <c:v>484939.250214639</c:v>
                </c:pt>
                <c:pt idx="194">
                  <c:v>489818.764216356</c:v>
                </c:pt>
                <c:pt idx="195">
                  <c:v>494737.314330087</c:v>
                </c:pt>
                <c:pt idx="196">
                  <c:v>499695.212844728</c:v>
                </c:pt>
                <c:pt idx="197">
                  <c:v>504692.774547486</c:v>
                </c:pt>
                <c:pt idx="198">
                  <c:v>509730.316743866</c:v>
                </c:pt>
                <c:pt idx="199">
                  <c:v>514808.159277817</c:v>
                </c:pt>
                <c:pt idx="200">
                  <c:v>519926.624552039</c:v>
                </c:pt>
                <c:pt idx="201">
                  <c:v>525086.037548455</c:v>
                </c:pt>
                <c:pt idx="202">
                  <c:v>530286.725848843</c:v>
                </c:pt>
                <c:pt idx="203">
                  <c:v>535529.019655634</c:v>
                </c:pt>
                <c:pt idx="204">
                  <c:v>540813.251812879</c:v>
                </c:pt>
                <c:pt idx="205">
                  <c:v>546139.757827382</c:v>
                </c:pt>
                <c:pt idx="206">
                  <c:v>551508.875890001</c:v>
                </c:pt>
                <c:pt idx="207">
                  <c:v>556920.946897121</c:v>
                </c:pt>
                <c:pt idx="208">
                  <c:v>562376.314472298</c:v>
                </c:pt>
                <c:pt idx="209">
                  <c:v>567875.324988076</c:v>
                </c:pt>
                <c:pt idx="210">
                  <c:v>573418.327587981</c:v>
                </c:pt>
                <c:pt idx="211">
                  <c:v>579005.674208685</c:v>
                </c:pt>
                <c:pt idx="212">
                  <c:v>584637.719602354</c:v>
                </c:pt>
                <c:pt idx="213">
                  <c:v>590314.821359173</c:v>
                </c:pt>
                <c:pt idx="214">
                  <c:v>596037.339930047</c:v>
                </c:pt>
                <c:pt idx="215">
                  <c:v>601805.638649487</c:v>
                </c:pt>
                <c:pt idx="216">
                  <c:v>607620.083758683</c:v>
                </c:pt>
                <c:pt idx="217">
                  <c:v>613481.044428752</c:v>
                </c:pt>
                <c:pt idx="218">
                  <c:v>619388.892784182</c:v>
                </c:pt>
                <c:pt idx="219">
                  <c:v>625344.003926456</c:v>
                </c:pt>
                <c:pt idx="220">
                  <c:v>631346.755957867</c:v>
                </c:pt>
                <c:pt idx="221">
                  <c:v>637397.53000553</c:v>
                </c:pt>
                <c:pt idx="222">
                  <c:v>643496.710245575</c:v>
                </c:pt>
                <c:pt idx="223">
                  <c:v>649644.683927539</c:v>
                </c:pt>
                <c:pt idx="224">
                  <c:v>655841.841398959</c:v>
                </c:pt>
                <c:pt idx="225">
                  <c:v>662088.576130151</c:v>
                </c:pt>
                <c:pt idx="226">
                  <c:v>668385.284739192</c:v>
                </c:pt>
                <c:pt idx="227">
                  <c:v>674732.367017106</c:v>
                </c:pt>
                <c:pt idx="228">
                  <c:v>681130.225953243</c:v>
                </c:pt>
                <c:pt idx="229">
                  <c:v>687579.267760869</c:v>
                </c:pt>
                <c:pt idx="230">
                  <c:v>694079.901902956</c:v>
                </c:pt>
                <c:pt idx="231">
                  <c:v>700632.541118179</c:v>
                </c:pt>
                <c:pt idx="232">
                  <c:v>707237.601447125</c:v>
                </c:pt>
                <c:pt idx="233">
                  <c:v>713895.502258702</c:v>
                </c:pt>
                <c:pt idx="234">
                  <c:v>720606.666276771</c:v>
                </c:pt>
                <c:pt idx="235">
                  <c:v>727371.519606985</c:v>
                </c:pt>
                <c:pt idx="236">
                  <c:v>734190.491763841</c:v>
                </c:pt>
                <c:pt idx="237">
                  <c:v>741064.015697952</c:v>
                </c:pt>
                <c:pt idx="238">
                  <c:v>747992.527823536</c:v>
                </c:pt>
                <c:pt idx="239">
                  <c:v>754976.468046124</c:v>
                </c:pt>
                <c:pt idx="240">
                  <c:v>762016.279790493</c:v>
                </c:pt>
                <c:pt idx="241">
                  <c:v>769112.410028817</c:v>
                </c:pt>
                <c:pt idx="242">
                  <c:v>776265.309309047</c:v>
                </c:pt>
                <c:pt idx="243">
                  <c:v>783475.43178352</c:v>
                </c:pt>
                <c:pt idx="244">
                  <c:v>790743.235237788</c:v>
                </c:pt>
                <c:pt idx="245">
                  <c:v>798069.18111969</c:v>
                </c:pt>
                <c:pt idx="246">
                  <c:v>805453.734568648</c:v>
                </c:pt>
                <c:pt idx="247">
                  <c:v>812897.364445197</c:v>
                </c:pt>
                <c:pt idx="248">
                  <c:v>820400.543360758</c:v>
                </c:pt>
                <c:pt idx="249">
                  <c:v>827963.747707644</c:v>
                </c:pt>
                <c:pt idx="250">
                  <c:v>835587.457689305</c:v>
                </c:pt>
                <c:pt idx="251">
                  <c:v>843272.15735082</c:v>
                </c:pt>
                <c:pt idx="252">
                  <c:v>851018.334609626</c:v>
                </c:pt>
                <c:pt idx="253">
                  <c:v>858826.481286504</c:v>
                </c:pt>
                <c:pt idx="254">
                  <c:v>866697.093136796</c:v>
                </c:pt>
                <c:pt idx="255">
                  <c:v>874630.66988189</c:v>
                </c:pt>
                <c:pt idx="256">
                  <c:v>882627.715240945</c:v>
                </c:pt>
                <c:pt idx="257">
                  <c:v>890688.736962873</c:v>
                </c:pt>
                <c:pt idx="258">
                  <c:v>898814.246858576</c:v>
                </c:pt>
                <c:pt idx="259">
                  <c:v>907004.760833444</c:v>
                </c:pt>
                <c:pt idx="260">
                  <c:v>915260.798920112</c:v>
                </c:pt>
                <c:pt idx="261">
                  <c:v>923582.885311473</c:v>
                </c:pt>
                <c:pt idx="262">
                  <c:v>931971.548393964</c:v>
                </c:pt>
                <c:pt idx="263">
                  <c:v>940427.320781116</c:v>
                </c:pt>
                <c:pt idx="264">
                  <c:v>948950.739347365</c:v>
                </c:pt>
                <c:pt idx="265">
                  <c:v>957542.345262144</c:v>
                </c:pt>
                <c:pt idx="266">
                  <c:v>966202.684024241</c:v>
                </c:pt>
                <c:pt idx="267">
                  <c:v>974932.305496435</c:v>
                </c:pt>
                <c:pt idx="268">
                  <c:v>983731.763940407</c:v>
                </c:pt>
                <c:pt idx="269">
                  <c:v>992601.61805193</c:v>
                </c:pt>
                <c:pt idx="270">
                  <c:v>1001542.43099635</c:v>
                </c:pt>
                <c:pt idx="271">
                  <c:v>1010554.77044432</c:v>
                </c:pt>
                <c:pt idx="272">
                  <c:v>1019639.20860787</c:v>
                </c:pt>
                <c:pt idx="273">
                  <c:v>1028796.32227673</c:v>
                </c:pt>
                <c:pt idx="274">
                  <c:v>1038026.69285495</c:v>
                </c:pt>
                <c:pt idx="275">
                  <c:v>1047330.90639779</c:v>
                </c:pt>
                <c:pt idx="276">
                  <c:v>1056709.55364897</c:v>
                </c:pt>
                <c:pt idx="277">
                  <c:v>1066163.23007816</c:v>
                </c:pt>
                <c:pt idx="278">
                  <c:v>1075692.53591879</c:v>
                </c:pt>
                <c:pt idx="279">
                  <c:v>1085298.07620614</c:v>
                </c:pt>
                <c:pt idx="280">
                  <c:v>1094980.46081579</c:v>
                </c:pt>
                <c:pt idx="281">
                  <c:v>1104740.30450231</c:v>
                </c:pt>
                <c:pt idx="282">
                  <c:v>1114578.22693833</c:v>
                </c:pt>
                <c:pt idx="283">
                  <c:v>1124494.85275384</c:v>
                </c:pt>
                <c:pt idx="284">
                  <c:v>1134490.81157587</c:v>
                </c:pt>
                <c:pt idx="285">
                  <c:v>1144566.73806847</c:v>
                </c:pt>
                <c:pt idx="286">
                  <c:v>1154723.27197302</c:v>
                </c:pt>
                <c:pt idx="287">
                  <c:v>1164961.05814881</c:v>
                </c:pt>
                <c:pt idx="288">
                  <c:v>1175280.746614</c:v>
                </c:pt>
                <c:pt idx="289">
                  <c:v>1185682.99258691</c:v>
                </c:pt>
                <c:pt idx="290">
                  <c:v>1196168.4565276</c:v>
                </c:pt>
                <c:pt idx="291">
                  <c:v>1206737.80417983</c:v>
                </c:pt>
                <c:pt idx="292">
                  <c:v>1217391.70661326</c:v>
                </c:pt>
                <c:pt idx="293">
                  <c:v>1228130.84026617</c:v>
                </c:pt>
                <c:pt idx="294">
                  <c:v>1238955.8869883</c:v>
                </c:pt>
                <c:pt idx="295">
                  <c:v>1249867.53408421</c:v>
                </c:pt>
                <c:pt idx="296">
                  <c:v>1260866.47435688</c:v>
                </c:pt>
                <c:pt idx="297">
                  <c:v>1271953.40615173</c:v>
                </c:pt>
                <c:pt idx="298">
                  <c:v>1283129.03340095</c:v>
                </c:pt>
                <c:pt idx="299">
                  <c:v>1294394.06566816</c:v>
                </c:pt>
                <c:pt idx="300">
                  <c:v>1305749.2181935</c:v>
                </c:pt>
                <c:pt idx="301">
                  <c:v>1317195.21193905</c:v>
                </c:pt>
                <c:pt idx="302">
                  <c:v>1328732.77363456</c:v>
                </c:pt>
                <c:pt idx="303">
                  <c:v>1340362.63582364</c:v>
                </c:pt>
                <c:pt idx="304">
                  <c:v>1352085.53691023</c:v>
                </c:pt>
                <c:pt idx="305">
                  <c:v>1363902.22120551</c:v>
                </c:pt>
                <c:pt idx="306">
                  <c:v>1375813.43897515</c:v>
                </c:pt>
                <c:pt idx="307">
                  <c:v>1387819.94648695</c:v>
                </c:pt>
                <c:pt idx="308">
                  <c:v>1399922.50605885</c:v>
                </c:pt>
                <c:pt idx="309">
                  <c:v>1412121.88610732</c:v>
                </c:pt>
                <c:pt idx="310">
                  <c:v>1424418.86119618</c:v>
                </c:pt>
                <c:pt idx="311">
                  <c:v>1436814.21208575</c:v>
                </c:pt>
                <c:pt idx="312">
                  <c:v>1449308.72578243</c:v>
                </c:pt>
                <c:pt idx="313">
                  <c:v>1461903.19558869</c:v>
                </c:pt>
                <c:pt idx="314">
                  <c:v>1474598.4211534</c:v>
                </c:pt>
                <c:pt idx="315">
                  <c:v>1487395.20852263</c:v>
                </c:pt>
                <c:pt idx="316">
                  <c:v>1500294.37019081</c:v>
                </c:pt>
                <c:pt idx="317">
                  <c:v>1513296.72515234</c:v>
                </c:pt>
                <c:pt idx="318">
                  <c:v>1526403.09895356</c:v>
                </c:pt>
                <c:pt idx="319">
                  <c:v>1539614.32374519</c:v>
                </c:pt>
                <c:pt idx="320">
                  <c:v>1552931.23833515</c:v>
                </c:pt>
                <c:pt idx="321">
                  <c:v>1566354.68824183</c:v>
                </c:pt>
                <c:pt idx="322">
                  <c:v>1579885.52574776</c:v>
                </c:pt>
                <c:pt idx="323">
                  <c:v>1593524.60995375</c:v>
                </c:pt>
                <c:pt idx="324">
                  <c:v>1607272.80683338</c:v>
                </c:pt>
                <c:pt idx="325">
                  <c:v>1621130.98928804</c:v>
                </c:pt>
                <c:pt idx="326">
                  <c:v>1635100.03720235</c:v>
                </c:pt>
                <c:pt idx="327">
                  <c:v>1649180.83749997</c:v>
                </c:pt>
                <c:pt idx="328">
                  <c:v>1663374.28419997</c:v>
                </c:pt>
                <c:pt idx="329">
                  <c:v>1677681.27847357</c:v>
                </c:pt>
                <c:pt idx="330">
                  <c:v>1692102.72870135</c:v>
                </c:pt>
                <c:pt idx="331">
                  <c:v>1706639.55053096</c:v>
                </c:pt>
                <c:pt idx="332">
                  <c:v>1721292.66693521</c:v>
                </c:pt>
                <c:pt idx="333">
                  <c:v>1736063.00827069</c:v>
                </c:pt>
                <c:pt idx="334">
                  <c:v>1750951.51233686</c:v>
                </c:pt>
                <c:pt idx="335">
                  <c:v>1765959.12443555</c:v>
                </c:pt>
                <c:pt idx="336">
                  <c:v>1781086.79743104</c:v>
                </c:pt>
                <c:pt idx="337">
                  <c:v>1796335.49181049</c:v>
                </c:pt>
                <c:pt idx="338">
                  <c:v>1811706.17574497</c:v>
                </c:pt>
                <c:pt idx="339">
                  <c:v>1827199.82515093</c:v>
                </c:pt>
                <c:pt idx="340">
                  <c:v>1842817.42375214</c:v>
                </c:pt>
                <c:pt idx="341">
                  <c:v>1858559.96314215</c:v>
                </c:pt>
                <c:pt idx="342">
                  <c:v>1874428.44284729</c:v>
                </c:pt>
                <c:pt idx="343">
                  <c:v>1890423.87039007</c:v>
                </c:pt>
                <c:pt idx="344">
                  <c:v>1906547.26135319</c:v>
                </c:pt>
                <c:pt idx="345">
                  <c:v>1922799.63944402</c:v>
                </c:pt>
                <c:pt idx="346">
                  <c:v>1939182.03655957</c:v>
                </c:pt>
                <c:pt idx="347">
                  <c:v>1955695.49285205</c:v>
                </c:pt>
                <c:pt idx="348">
                  <c:v>1972341.05679486</c:v>
                </c:pt>
                <c:pt idx="349">
                  <c:v>1989119.78524922</c:v>
                </c:pt>
                <c:pt idx="350">
                  <c:v>2006032.74353121</c:v>
                </c:pt>
                <c:pt idx="351">
                  <c:v>2023081.00547946</c:v>
                </c:pt>
                <c:pt idx="352">
                  <c:v>2040265.6535233</c:v>
                </c:pt>
                <c:pt idx="353">
                  <c:v>2057587.77875149</c:v>
                </c:pt>
                <c:pt idx="354">
                  <c:v>2075048.4809815</c:v>
                </c:pt>
                <c:pt idx="355">
                  <c:v>2092648.86882935</c:v>
                </c:pt>
                <c:pt idx="356">
                  <c:v>2110390.05977998</c:v>
                </c:pt>
                <c:pt idx="357">
                  <c:v>2128273.18025822</c:v>
                </c:pt>
                <c:pt idx="358">
                  <c:v>2146299.36570029</c:v>
                </c:pt>
                <c:pt idx="359">
                  <c:v>2164469.76062589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PROJEÇÃO!H2</c:f>
              <c:strCache>
                <c:ptCount val="1"/>
                <c:pt idx="0">
                  <c:v>Total aportado (acum.)</c:v>
                </c:pt>
              </c:strCache>
            </c:strRef>
          </c:tx>
          <c:spPr>
            <a:solidFill>
              <a:srgbClr val="9aa5b1"/>
            </a:solidFill>
            <a:ln w="18000">
              <a:solidFill>
                <a:srgbClr val="9aa5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PROJEÇÃO!$A$3:$A$362</c:f>
              <c:strCach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strCache>
            </c:strRef>
          </c:cat>
          <c:val>
            <c:numRef>
              <c:f>PROJEÇÃO!$H$3:$H$362</c:f>
              <c:numCache>
                <c:formatCode>"R$ "#,##0;[RED]"-R$ "#,##0</c:formatCode>
                <c:ptCount val="360"/>
                <c:pt idx="0">
                  <c:v>6000</c:v>
                </c:pt>
                <c:pt idx="1">
                  <c:v>7000</c:v>
                </c:pt>
                <c:pt idx="2">
                  <c:v>8000</c:v>
                </c:pt>
                <c:pt idx="3">
                  <c:v>9000</c:v>
                </c:pt>
                <c:pt idx="4">
                  <c:v>10000</c:v>
                </c:pt>
                <c:pt idx="5">
                  <c:v>11000</c:v>
                </c:pt>
                <c:pt idx="6">
                  <c:v>12000</c:v>
                </c:pt>
                <c:pt idx="7">
                  <c:v>13000</c:v>
                </c:pt>
                <c:pt idx="8">
                  <c:v>14000</c:v>
                </c:pt>
                <c:pt idx="9">
                  <c:v>15000</c:v>
                </c:pt>
                <c:pt idx="10">
                  <c:v>16000</c:v>
                </c:pt>
                <c:pt idx="11">
                  <c:v>17000</c:v>
                </c:pt>
                <c:pt idx="12">
                  <c:v>18000</c:v>
                </c:pt>
                <c:pt idx="13">
                  <c:v>19000</c:v>
                </c:pt>
                <c:pt idx="14">
                  <c:v>20000</c:v>
                </c:pt>
                <c:pt idx="15">
                  <c:v>21000</c:v>
                </c:pt>
                <c:pt idx="16">
                  <c:v>22000</c:v>
                </c:pt>
                <c:pt idx="17">
                  <c:v>23000</c:v>
                </c:pt>
                <c:pt idx="18">
                  <c:v>24000</c:v>
                </c:pt>
                <c:pt idx="19">
                  <c:v>25000</c:v>
                </c:pt>
                <c:pt idx="20">
                  <c:v>26000</c:v>
                </c:pt>
                <c:pt idx="21">
                  <c:v>27000</c:v>
                </c:pt>
                <c:pt idx="22">
                  <c:v>28000</c:v>
                </c:pt>
                <c:pt idx="23">
                  <c:v>29000</c:v>
                </c:pt>
                <c:pt idx="24">
                  <c:v>30000</c:v>
                </c:pt>
                <c:pt idx="25">
                  <c:v>31000</c:v>
                </c:pt>
                <c:pt idx="26">
                  <c:v>32000</c:v>
                </c:pt>
                <c:pt idx="27">
                  <c:v>33000</c:v>
                </c:pt>
                <c:pt idx="28">
                  <c:v>34000</c:v>
                </c:pt>
                <c:pt idx="29">
                  <c:v>35000</c:v>
                </c:pt>
                <c:pt idx="30">
                  <c:v>36000</c:v>
                </c:pt>
                <c:pt idx="31">
                  <c:v>37000</c:v>
                </c:pt>
                <c:pt idx="32">
                  <c:v>38000</c:v>
                </c:pt>
                <c:pt idx="33">
                  <c:v>39000</c:v>
                </c:pt>
                <c:pt idx="34">
                  <c:v>40000</c:v>
                </c:pt>
                <c:pt idx="35">
                  <c:v>41000</c:v>
                </c:pt>
                <c:pt idx="36">
                  <c:v>42000</c:v>
                </c:pt>
                <c:pt idx="37">
                  <c:v>43000</c:v>
                </c:pt>
                <c:pt idx="38">
                  <c:v>44000</c:v>
                </c:pt>
                <c:pt idx="39">
                  <c:v>45000</c:v>
                </c:pt>
                <c:pt idx="40">
                  <c:v>46000</c:v>
                </c:pt>
                <c:pt idx="41">
                  <c:v>47000</c:v>
                </c:pt>
                <c:pt idx="42">
                  <c:v>48000</c:v>
                </c:pt>
                <c:pt idx="43">
                  <c:v>49000</c:v>
                </c:pt>
                <c:pt idx="44">
                  <c:v>50000</c:v>
                </c:pt>
                <c:pt idx="45">
                  <c:v>51000</c:v>
                </c:pt>
                <c:pt idx="46">
                  <c:v>52000</c:v>
                </c:pt>
                <c:pt idx="47">
                  <c:v>53000</c:v>
                </c:pt>
                <c:pt idx="48">
                  <c:v>54000</c:v>
                </c:pt>
                <c:pt idx="49">
                  <c:v>55000</c:v>
                </c:pt>
                <c:pt idx="50">
                  <c:v>56000</c:v>
                </c:pt>
                <c:pt idx="51">
                  <c:v>57000</c:v>
                </c:pt>
                <c:pt idx="52">
                  <c:v>58000</c:v>
                </c:pt>
                <c:pt idx="53">
                  <c:v>59000</c:v>
                </c:pt>
                <c:pt idx="54">
                  <c:v>60000</c:v>
                </c:pt>
                <c:pt idx="55">
                  <c:v>61000</c:v>
                </c:pt>
                <c:pt idx="56">
                  <c:v>62000</c:v>
                </c:pt>
                <c:pt idx="57">
                  <c:v>63000</c:v>
                </c:pt>
                <c:pt idx="58">
                  <c:v>64000</c:v>
                </c:pt>
                <c:pt idx="59">
                  <c:v>65000</c:v>
                </c:pt>
                <c:pt idx="60">
                  <c:v>66000</c:v>
                </c:pt>
                <c:pt idx="61">
                  <c:v>67000</c:v>
                </c:pt>
                <c:pt idx="62">
                  <c:v>68000</c:v>
                </c:pt>
                <c:pt idx="63">
                  <c:v>69000</c:v>
                </c:pt>
                <c:pt idx="64">
                  <c:v>70000</c:v>
                </c:pt>
                <c:pt idx="65">
                  <c:v>71000</c:v>
                </c:pt>
                <c:pt idx="66">
                  <c:v>72000</c:v>
                </c:pt>
                <c:pt idx="67">
                  <c:v>73000</c:v>
                </c:pt>
                <c:pt idx="68">
                  <c:v>74000</c:v>
                </c:pt>
                <c:pt idx="69">
                  <c:v>75000</c:v>
                </c:pt>
                <c:pt idx="70">
                  <c:v>76000</c:v>
                </c:pt>
                <c:pt idx="71">
                  <c:v>77000</c:v>
                </c:pt>
                <c:pt idx="72">
                  <c:v>78000</c:v>
                </c:pt>
                <c:pt idx="73">
                  <c:v>79000</c:v>
                </c:pt>
                <c:pt idx="74">
                  <c:v>80000</c:v>
                </c:pt>
                <c:pt idx="75">
                  <c:v>81000</c:v>
                </c:pt>
                <c:pt idx="76">
                  <c:v>82000</c:v>
                </c:pt>
                <c:pt idx="77">
                  <c:v>83000</c:v>
                </c:pt>
                <c:pt idx="78">
                  <c:v>84000</c:v>
                </c:pt>
                <c:pt idx="79">
                  <c:v>85000</c:v>
                </c:pt>
                <c:pt idx="80">
                  <c:v>86000</c:v>
                </c:pt>
                <c:pt idx="81">
                  <c:v>87000</c:v>
                </c:pt>
                <c:pt idx="82">
                  <c:v>88000</c:v>
                </c:pt>
                <c:pt idx="83">
                  <c:v>89000</c:v>
                </c:pt>
                <c:pt idx="84">
                  <c:v>90000</c:v>
                </c:pt>
                <c:pt idx="85">
                  <c:v>91000</c:v>
                </c:pt>
                <c:pt idx="86">
                  <c:v>92000</c:v>
                </c:pt>
                <c:pt idx="87">
                  <c:v>93000</c:v>
                </c:pt>
                <c:pt idx="88">
                  <c:v>94000</c:v>
                </c:pt>
                <c:pt idx="89">
                  <c:v>95000</c:v>
                </c:pt>
                <c:pt idx="90">
                  <c:v>96000</c:v>
                </c:pt>
                <c:pt idx="91">
                  <c:v>97000</c:v>
                </c:pt>
                <c:pt idx="92">
                  <c:v>98000</c:v>
                </c:pt>
                <c:pt idx="93">
                  <c:v>99000</c:v>
                </c:pt>
                <c:pt idx="94">
                  <c:v>100000</c:v>
                </c:pt>
                <c:pt idx="95">
                  <c:v>101000</c:v>
                </c:pt>
                <c:pt idx="96">
                  <c:v>102000</c:v>
                </c:pt>
                <c:pt idx="97">
                  <c:v>103000</c:v>
                </c:pt>
                <c:pt idx="98">
                  <c:v>104000</c:v>
                </c:pt>
                <c:pt idx="99">
                  <c:v>105000</c:v>
                </c:pt>
                <c:pt idx="100">
                  <c:v>106000</c:v>
                </c:pt>
                <c:pt idx="101">
                  <c:v>107000</c:v>
                </c:pt>
                <c:pt idx="102">
                  <c:v>108000</c:v>
                </c:pt>
                <c:pt idx="103">
                  <c:v>109000</c:v>
                </c:pt>
                <c:pt idx="104">
                  <c:v>110000</c:v>
                </c:pt>
                <c:pt idx="105">
                  <c:v>111000</c:v>
                </c:pt>
                <c:pt idx="106">
                  <c:v>112000</c:v>
                </c:pt>
                <c:pt idx="107">
                  <c:v>113000</c:v>
                </c:pt>
                <c:pt idx="108">
                  <c:v>114000</c:v>
                </c:pt>
                <c:pt idx="109">
                  <c:v>115000</c:v>
                </c:pt>
                <c:pt idx="110">
                  <c:v>116000</c:v>
                </c:pt>
                <c:pt idx="111">
                  <c:v>117000</c:v>
                </c:pt>
                <c:pt idx="112">
                  <c:v>118000</c:v>
                </c:pt>
                <c:pt idx="113">
                  <c:v>119000</c:v>
                </c:pt>
                <c:pt idx="114">
                  <c:v>120000</c:v>
                </c:pt>
                <c:pt idx="115">
                  <c:v>121000</c:v>
                </c:pt>
                <c:pt idx="116">
                  <c:v>122000</c:v>
                </c:pt>
                <c:pt idx="117">
                  <c:v>123000</c:v>
                </c:pt>
                <c:pt idx="118">
                  <c:v>124000</c:v>
                </c:pt>
                <c:pt idx="119">
                  <c:v>125000</c:v>
                </c:pt>
                <c:pt idx="120">
                  <c:v>126000</c:v>
                </c:pt>
                <c:pt idx="121">
                  <c:v>127000</c:v>
                </c:pt>
                <c:pt idx="122">
                  <c:v>128000</c:v>
                </c:pt>
                <c:pt idx="123">
                  <c:v>129000</c:v>
                </c:pt>
                <c:pt idx="124">
                  <c:v>130000</c:v>
                </c:pt>
                <c:pt idx="125">
                  <c:v>131000</c:v>
                </c:pt>
                <c:pt idx="126">
                  <c:v>132000</c:v>
                </c:pt>
                <c:pt idx="127">
                  <c:v>133000</c:v>
                </c:pt>
                <c:pt idx="128">
                  <c:v>134000</c:v>
                </c:pt>
                <c:pt idx="129">
                  <c:v>135000</c:v>
                </c:pt>
                <c:pt idx="130">
                  <c:v>136000</c:v>
                </c:pt>
                <c:pt idx="131">
                  <c:v>137000</c:v>
                </c:pt>
                <c:pt idx="132">
                  <c:v>138000</c:v>
                </c:pt>
                <c:pt idx="133">
                  <c:v>139000</c:v>
                </c:pt>
                <c:pt idx="134">
                  <c:v>140000</c:v>
                </c:pt>
                <c:pt idx="135">
                  <c:v>141000</c:v>
                </c:pt>
                <c:pt idx="136">
                  <c:v>142000</c:v>
                </c:pt>
                <c:pt idx="137">
                  <c:v>143000</c:v>
                </c:pt>
                <c:pt idx="138">
                  <c:v>144000</c:v>
                </c:pt>
                <c:pt idx="139">
                  <c:v>145000</c:v>
                </c:pt>
                <c:pt idx="140">
                  <c:v>146000</c:v>
                </c:pt>
                <c:pt idx="141">
                  <c:v>147000</c:v>
                </c:pt>
                <c:pt idx="142">
                  <c:v>148000</c:v>
                </c:pt>
                <c:pt idx="143">
                  <c:v>149000</c:v>
                </c:pt>
                <c:pt idx="144">
                  <c:v>150000</c:v>
                </c:pt>
                <c:pt idx="145">
                  <c:v>151000</c:v>
                </c:pt>
                <c:pt idx="146">
                  <c:v>152000</c:v>
                </c:pt>
                <c:pt idx="147">
                  <c:v>153000</c:v>
                </c:pt>
                <c:pt idx="148">
                  <c:v>154000</c:v>
                </c:pt>
                <c:pt idx="149">
                  <c:v>155000</c:v>
                </c:pt>
                <c:pt idx="150">
                  <c:v>156000</c:v>
                </c:pt>
                <c:pt idx="151">
                  <c:v>157000</c:v>
                </c:pt>
                <c:pt idx="152">
                  <c:v>158000</c:v>
                </c:pt>
                <c:pt idx="153">
                  <c:v>159000</c:v>
                </c:pt>
                <c:pt idx="154">
                  <c:v>160000</c:v>
                </c:pt>
                <c:pt idx="155">
                  <c:v>161000</c:v>
                </c:pt>
                <c:pt idx="156">
                  <c:v>162000</c:v>
                </c:pt>
                <c:pt idx="157">
                  <c:v>163000</c:v>
                </c:pt>
                <c:pt idx="158">
                  <c:v>164000</c:v>
                </c:pt>
                <c:pt idx="159">
                  <c:v>165000</c:v>
                </c:pt>
                <c:pt idx="160">
                  <c:v>166000</c:v>
                </c:pt>
                <c:pt idx="161">
                  <c:v>167000</c:v>
                </c:pt>
                <c:pt idx="162">
                  <c:v>168000</c:v>
                </c:pt>
                <c:pt idx="163">
                  <c:v>169000</c:v>
                </c:pt>
                <c:pt idx="164">
                  <c:v>170000</c:v>
                </c:pt>
                <c:pt idx="165">
                  <c:v>171000</c:v>
                </c:pt>
                <c:pt idx="166">
                  <c:v>172000</c:v>
                </c:pt>
                <c:pt idx="167">
                  <c:v>173000</c:v>
                </c:pt>
                <c:pt idx="168">
                  <c:v>174000</c:v>
                </c:pt>
                <c:pt idx="169">
                  <c:v>175000</c:v>
                </c:pt>
                <c:pt idx="170">
                  <c:v>176000</c:v>
                </c:pt>
                <c:pt idx="171">
                  <c:v>177000</c:v>
                </c:pt>
                <c:pt idx="172">
                  <c:v>178000</c:v>
                </c:pt>
                <c:pt idx="173">
                  <c:v>179000</c:v>
                </c:pt>
                <c:pt idx="174">
                  <c:v>180000</c:v>
                </c:pt>
                <c:pt idx="175">
                  <c:v>181000</c:v>
                </c:pt>
                <c:pt idx="176">
                  <c:v>182000</c:v>
                </c:pt>
                <c:pt idx="177">
                  <c:v>183000</c:v>
                </c:pt>
                <c:pt idx="178">
                  <c:v>184000</c:v>
                </c:pt>
                <c:pt idx="179">
                  <c:v>185000</c:v>
                </c:pt>
                <c:pt idx="180">
                  <c:v>186000</c:v>
                </c:pt>
                <c:pt idx="181">
                  <c:v>187000</c:v>
                </c:pt>
                <c:pt idx="182">
                  <c:v>188000</c:v>
                </c:pt>
                <c:pt idx="183">
                  <c:v>189000</c:v>
                </c:pt>
                <c:pt idx="184">
                  <c:v>190000</c:v>
                </c:pt>
                <c:pt idx="185">
                  <c:v>191000</c:v>
                </c:pt>
                <c:pt idx="186">
                  <c:v>192000</c:v>
                </c:pt>
                <c:pt idx="187">
                  <c:v>193000</c:v>
                </c:pt>
                <c:pt idx="188">
                  <c:v>194000</c:v>
                </c:pt>
                <c:pt idx="189">
                  <c:v>195000</c:v>
                </c:pt>
                <c:pt idx="190">
                  <c:v>196000</c:v>
                </c:pt>
                <c:pt idx="191">
                  <c:v>197000</c:v>
                </c:pt>
                <c:pt idx="192">
                  <c:v>198000</c:v>
                </c:pt>
                <c:pt idx="193">
                  <c:v>199000</c:v>
                </c:pt>
                <c:pt idx="194">
                  <c:v>200000</c:v>
                </c:pt>
                <c:pt idx="195">
                  <c:v>201000</c:v>
                </c:pt>
                <c:pt idx="196">
                  <c:v>202000</c:v>
                </c:pt>
                <c:pt idx="197">
                  <c:v>203000</c:v>
                </c:pt>
                <c:pt idx="198">
                  <c:v>204000</c:v>
                </c:pt>
                <c:pt idx="199">
                  <c:v>205000</c:v>
                </c:pt>
                <c:pt idx="200">
                  <c:v>206000</c:v>
                </c:pt>
                <c:pt idx="201">
                  <c:v>207000</c:v>
                </c:pt>
                <c:pt idx="202">
                  <c:v>208000</c:v>
                </c:pt>
                <c:pt idx="203">
                  <c:v>209000</c:v>
                </c:pt>
                <c:pt idx="204">
                  <c:v>210000</c:v>
                </c:pt>
                <c:pt idx="205">
                  <c:v>211000</c:v>
                </c:pt>
                <c:pt idx="206">
                  <c:v>212000</c:v>
                </c:pt>
                <c:pt idx="207">
                  <c:v>213000</c:v>
                </c:pt>
                <c:pt idx="208">
                  <c:v>214000</c:v>
                </c:pt>
                <c:pt idx="209">
                  <c:v>215000</c:v>
                </c:pt>
                <c:pt idx="210">
                  <c:v>216000</c:v>
                </c:pt>
                <c:pt idx="211">
                  <c:v>217000</c:v>
                </c:pt>
                <c:pt idx="212">
                  <c:v>218000</c:v>
                </c:pt>
                <c:pt idx="213">
                  <c:v>219000</c:v>
                </c:pt>
                <c:pt idx="214">
                  <c:v>220000</c:v>
                </c:pt>
                <c:pt idx="215">
                  <c:v>221000</c:v>
                </c:pt>
                <c:pt idx="216">
                  <c:v>222000</c:v>
                </c:pt>
                <c:pt idx="217">
                  <c:v>223000</c:v>
                </c:pt>
                <c:pt idx="218">
                  <c:v>224000</c:v>
                </c:pt>
                <c:pt idx="219">
                  <c:v>225000</c:v>
                </c:pt>
                <c:pt idx="220">
                  <c:v>226000</c:v>
                </c:pt>
                <c:pt idx="221">
                  <c:v>227000</c:v>
                </c:pt>
                <c:pt idx="222">
                  <c:v>228000</c:v>
                </c:pt>
                <c:pt idx="223">
                  <c:v>229000</c:v>
                </c:pt>
                <c:pt idx="224">
                  <c:v>230000</c:v>
                </c:pt>
                <c:pt idx="225">
                  <c:v>231000</c:v>
                </c:pt>
                <c:pt idx="226">
                  <c:v>232000</c:v>
                </c:pt>
                <c:pt idx="227">
                  <c:v>233000</c:v>
                </c:pt>
                <c:pt idx="228">
                  <c:v>234000</c:v>
                </c:pt>
                <c:pt idx="229">
                  <c:v>235000</c:v>
                </c:pt>
                <c:pt idx="230">
                  <c:v>236000</c:v>
                </c:pt>
                <c:pt idx="231">
                  <c:v>237000</c:v>
                </c:pt>
                <c:pt idx="232">
                  <c:v>238000</c:v>
                </c:pt>
                <c:pt idx="233">
                  <c:v>239000</c:v>
                </c:pt>
                <c:pt idx="234">
                  <c:v>240000</c:v>
                </c:pt>
                <c:pt idx="235">
                  <c:v>241000</c:v>
                </c:pt>
                <c:pt idx="236">
                  <c:v>242000</c:v>
                </c:pt>
                <c:pt idx="237">
                  <c:v>243000</c:v>
                </c:pt>
                <c:pt idx="238">
                  <c:v>244000</c:v>
                </c:pt>
                <c:pt idx="239">
                  <c:v>245000</c:v>
                </c:pt>
                <c:pt idx="240">
                  <c:v>246000</c:v>
                </c:pt>
                <c:pt idx="241">
                  <c:v>247000</c:v>
                </c:pt>
                <c:pt idx="242">
                  <c:v>248000</c:v>
                </c:pt>
                <c:pt idx="243">
                  <c:v>249000</c:v>
                </c:pt>
                <c:pt idx="244">
                  <c:v>250000</c:v>
                </c:pt>
                <c:pt idx="245">
                  <c:v>251000</c:v>
                </c:pt>
                <c:pt idx="246">
                  <c:v>252000</c:v>
                </c:pt>
                <c:pt idx="247">
                  <c:v>253000</c:v>
                </c:pt>
                <c:pt idx="248">
                  <c:v>254000</c:v>
                </c:pt>
                <c:pt idx="249">
                  <c:v>255000</c:v>
                </c:pt>
                <c:pt idx="250">
                  <c:v>256000</c:v>
                </c:pt>
                <c:pt idx="251">
                  <c:v>257000</c:v>
                </c:pt>
                <c:pt idx="252">
                  <c:v>258000</c:v>
                </c:pt>
                <c:pt idx="253">
                  <c:v>259000</c:v>
                </c:pt>
                <c:pt idx="254">
                  <c:v>260000</c:v>
                </c:pt>
                <c:pt idx="255">
                  <c:v>261000</c:v>
                </c:pt>
                <c:pt idx="256">
                  <c:v>262000</c:v>
                </c:pt>
                <c:pt idx="257">
                  <c:v>263000</c:v>
                </c:pt>
                <c:pt idx="258">
                  <c:v>264000</c:v>
                </c:pt>
                <c:pt idx="259">
                  <c:v>265000</c:v>
                </c:pt>
                <c:pt idx="260">
                  <c:v>266000</c:v>
                </c:pt>
                <c:pt idx="261">
                  <c:v>267000</c:v>
                </c:pt>
                <c:pt idx="262">
                  <c:v>268000</c:v>
                </c:pt>
                <c:pt idx="263">
                  <c:v>269000</c:v>
                </c:pt>
                <c:pt idx="264">
                  <c:v>270000</c:v>
                </c:pt>
                <c:pt idx="265">
                  <c:v>271000</c:v>
                </c:pt>
                <c:pt idx="266">
                  <c:v>272000</c:v>
                </c:pt>
                <c:pt idx="267">
                  <c:v>273000</c:v>
                </c:pt>
                <c:pt idx="268">
                  <c:v>274000</c:v>
                </c:pt>
                <c:pt idx="269">
                  <c:v>275000</c:v>
                </c:pt>
                <c:pt idx="270">
                  <c:v>276000</c:v>
                </c:pt>
                <c:pt idx="271">
                  <c:v>277000</c:v>
                </c:pt>
                <c:pt idx="272">
                  <c:v>278000</c:v>
                </c:pt>
                <c:pt idx="273">
                  <c:v>279000</c:v>
                </c:pt>
                <c:pt idx="274">
                  <c:v>280000</c:v>
                </c:pt>
                <c:pt idx="275">
                  <c:v>281000</c:v>
                </c:pt>
                <c:pt idx="276">
                  <c:v>282000</c:v>
                </c:pt>
                <c:pt idx="277">
                  <c:v>283000</c:v>
                </c:pt>
                <c:pt idx="278">
                  <c:v>284000</c:v>
                </c:pt>
                <c:pt idx="279">
                  <c:v>285000</c:v>
                </c:pt>
                <c:pt idx="280">
                  <c:v>286000</c:v>
                </c:pt>
                <c:pt idx="281">
                  <c:v>287000</c:v>
                </c:pt>
                <c:pt idx="282">
                  <c:v>288000</c:v>
                </c:pt>
                <c:pt idx="283">
                  <c:v>289000</c:v>
                </c:pt>
                <c:pt idx="284">
                  <c:v>290000</c:v>
                </c:pt>
                <c:pt idx="285">
                  <c:v>291000</c:v>
                </c:pt>
                <c:pt idx="286">
                  <c:v>292000</c:v>
                </c:pt>
                <c:pt idx="287">
                  <c:v>293000</c:v>
                </c:pt>
                <c:pt idx="288">
                  <c:v>294000</c:v>
                </c:pt>
                <c:pt idx="289">
                  <c:v>295000</c:v>
                </c:pt>
                <c:pt idx="290">
                  <c:v>296000</c:v>
                </c:pt>
                <c:pt idx="291">
                  <c:v>297000</c:v>
                </c:pt>
                <c:pt idx="292">
                  <c:v>298000</c:v>
                </c:pt>
                <c:pt idx="293">
                  <c:v>299000</c:v>
                </c:pt>
                <c:pt idx="294">
                  <c:v>300000</c:v>
                </c:pt>
                <c:pt idx="295">
                  <c:v>301000</c:v>
                </c:pt>
                <c:pt idx="296">
                  <c:v>302000</c:v>
                </c:pt>
                <c:pt idx="297">
                  <c:v>303000</c:v>
                </c:pt>
                <c:pt idx="298">
                  <c:v>304000</c:v>
                </c:pt>
                <c:pt idx="299">
                  <c:v>305000</c:v>
                </c:pt>
                <c:pt idx="300">
                  <c:v>306000</c:v>
                </c:pt>
                <c:pt idx="301">
                  <c:v>307000</c:v>
                </c:pt>
                <c:pt idx="302">
                  <c:v>308000</c:v>
                </c:pt>
                <c:pt idx="303">
                  <c:v>309000</c:v>
                </c:pt>
                <c:pt idx="304">
                  <c:v>310000</c:v>
                </c:pt>
                <c:pt idx="305">
                  <c:v>311000</c:v>
                </c:pt>
                <c:pt idx="306">
                  <c:v>312000</c:v>
                </c:pt>
                <c:pt idx="307">
                  <c:v>313000</c:v>
                </c:pt>
                <c:pt idx="308">
                  <c:v>314000</c:v>
                </c:pt>
                <c:pt idx="309">
                  <c:v>315000</c:v>
                </c:pt>
                <c:pt idx="310">
                  <c:v>316000</c:v>
                </c:pt>
                <c:pt idx="311">
                  <c:v>317000</c:v>
                </c:pt>
                <c:pt idx="312">
                  <c:v>318000</c:v>
                </c:pt>
                <c:pt idx="313">
                  <c:v>319000</c:v>
                </c:pt>
                <c:pt idx="314">
                  <c:v>320000</c:v>
                </c:pt>
                <c:pt idx="315">
                  <c:v>321000</c:v>
                </c:pt>
                <c:pt idx="316">
                  <c:v>322000</c:v>
                </c:pt>
                <c:pt idx="317">
                  <c:v>323000</c:v>
                </c:pt>
                <c:pt idx="318">
                  <c:v>324000</c:v>
                </c:pt>
                <c:pt idx="319">
                  <c:v>325000</c:v>
                </c:pt>
                <c:pt idx="320">
                  <c:v>326000</c:v>
                </c:pt>
                <c:pt idx="321">
                  <c:v>327000</c:v>
                </c:pt>
                <c:pt idx="322">
                  <c:v>328000</c:v>
                </c:pt>
                <c:pt idx="323">
                  <c:v>329000</c:v>
                </c:pt>
                <c:pt idx="324">
                  <c:v>330000</c:v>
                </c:pt>
                <c:pt idx="325">
                  <c:v>331000</c:v>
                </c:pt>
                <c:pt idx="326">
                  <c:v>332000</c:v>
                </c:pt>
                <c:pt idx="327">
                  <c:v>333000</c:v>
                </c:pt>
                <c:pt idx="328">
                  <c:v>334000</c:v>
                </c:pt>
                <c:pt idx="329">
                  <c:v>335000</c:v>
                </c:pt>
                <c:pt idx="330">
                  <c:v>336000</c:v>
                </c:pt>
                <c:pt idx="331">
                  <c:v>337000</c:v>
                </c:pt>
                <c:pt idx="332">
                  <c:v>338000</c:v>
                </c:pt>
                <c:pt idx="333">
                  <c:v>339000</c:v>
                </c:pt>
                <c:pt idx="334">
                  <c:v>340000</c:v>
                </c:pt>
                <c:pt idx="335">
                  <c:v>341000</c:v>
                </c:pt>
                <c:pt idx="336">
                  <c:v>342000</c:v>
                </c:pt>
                <c:pt idx="337">
                  <c:v>343000</c:v>
                </c:pt>
                <c:pt idx="338">
                  <c:v>344000</c:v>
                </c:pt>
                <c:pt idx="339">
                  <c:v>345000</c:v>
                </c:pt>
                <c:pt idx="340">
                  <c:v>346000</c:v>
                </c:pt>
                <c:pt idx="341">
                  <c:v>347000</c:v>
                </c:pt>
                <c:pt idx="342">
                  <c:v>348000</c:v>
                </c:pt>
                <c:pt idx="343">
                  <c:v>349000</c:v>
                </c:pt>
                <c:pt idx="344">
                  <c:v>350000</c:v>
                </c:pt>
                <c:pt idx="345">
                  <c:v>351000</c:v>
                </c:pt>
                <c:pt idx="346">
                  <c:v>352000</c:v>
                </c:pt>
                <c:pt idx="347">
                  <c:v>353000</c:v>
                </c:pt>
                <c:pt idx="348">
                  <c:v>354000</c:v>
                </c:pt>
                <c:pt idx="349">
                  <c:v>355000</c:v>
                </c:pt>
                <c:pt idx="350">
                  <c:v>356000</c:v>
                </c:pt>
                <c:pt idx="351">
                  <c:v>357000</c:v>
                </c:pt>
                <c:pt idx="352">
                  <c:v>358000</c:v>
                </c:pt>
                <c:pt idx="353">
                  <c:v>359000</c:v>
                </c:pt>
                <c:pt idx="354">
                  <c:v>360000</c:v>
                </c:pt>
                <c:pt idx="355">
                  <c:v>361000</c:v>
                </c:pt>
                <c:pt idx="356">
                  <c:v>362000</c:v>
                </c:pt>
                <c:pt idx="357">
                  <c:v>363000</c:v>
                </c:pt>
                <c:pt idx="358">
                  <c:v>364000</c:v>
                </c:pt>
                <c:pt idx="359">
                  <c:v>365000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535808"/>
        <c:axId val="91755104"/>
      </c:lineChart>
      <c:catAx>
        <c:axId val="595358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55104"/>
        <c:crosses val="autoZero"/>
        <c:auto val="1"/>
        <c:lblAlgn val="ctr"/>
        <c:lblOffset val="100"/>
        <c:noMultiLvlLbl val="0"/>
      </c:catAx>
      <c:valAx>
        <c:axId val="917551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Patrimônio acumulado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;[RED]&quot;-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358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Sugestão de Carteira por Tipo de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SIMULADOR!D25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b5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b8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e7cb1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fb3d5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9cce3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9d6d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SIMULADOR!$B$26:$B$31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SIMULADOR!$D$26:$D$31</c:f>
              <c:numCache>
                <c:formatCode>0.0%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7</xdr:col>
      <xdr:colOff>291960</xdr:colOff>
      <xdr:row>48</xdr:row>
      <xdr:rowOff>219240</xdr:rowOff>
    </xdr:to>
    <xdr:graphicFrame>
      <xdr:nvGraphicFramePr>
        <xdr:cNvPr id="0" name="Chart 1"/>
        <xdr:cNvGraphicFramePr/>
      </xdr:nvGraphicFramePr>
      <xdr:xfrm>
        <a:off x="211320" y="86202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34</xdr:row>
      <xdr:rowOff>0</xdr:rowOff>
    </xdr:from>
    <xdr:to>
      <xdr:col>8</xdr:col>
      <xdr:colOff>1092600</xdr:colOff>
      <xdr:row>48</xdr:row>
      <xdr:rowOff>219240</xdr:rowOff>
    </xdr:to>
    <xdr:graphicFrame>
      <xdr:nvGraphicFramePr>
        <xdr:cNvPr id="1" name="Chart 2"/>
        <xdr:cNvGraphicFramePr/>
      </xdr:nvGraphicFramePr>
      <xdr:xfrm>
        <a:off x="4370040" y="8620200"/>
        <a:ext cx="50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true"/>
  </sheetPr>
  <dimension ref="A1:J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7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3"/>
      <c r="B4" s="4" t="s">
        <v>2</v>
      </c>
      <c r="C4" s="4"/>
      <c r="D4" s="4"/>
      <c r="E4" s="4"/>
      <c r="F4" s="3"/>
      <c r="G4" s="4" t="s">
        <v>3</v>
      </c>
      <c r="H4" s="4"/>
      <c r="I4" s="4"/>
      <c r="J4" s="4"/>
    </row>
    <row r="5" customFormat="false" ht="19.5" hidden="false" customHeight="true" outlineLevel="0" collapsed="false">
      <c r="A5" s="3"/>
      <c r="B5" s="5" t="s">
        <v>4</v>
      </c>
      <c r="C5" s="5"/>
      <c r="D5" s="6" t="n">
        <v>5000</v>
      </c>
      <c r="E5" s="3"/>
      <c r="F5" s="3"/>
      <c r="G5" s="7" t="s">
        <v>5</v>
      </c>
      <c r="H5" s="7"/>
      <c r="I5" s="8" t="n">
        <f aca="false">PATRIMONIO_INICIAL+APORTE*PRAZO_ANOS*12</f>
        <v>125000</v>
      </c>
      <c r="J5" s="3"/>
    </row>
    <row r="6" customFormat="false" ht="19.5" hidden="false" customHeight="true" outlineLevel="0" collapsed="false">
      <c r="A6" s="3"/>
      <c r="B6" s="5" t="s">
        <v>6</v>
      </c>
      <c r="C6" s="5"/>
      <c r="D6" s="9" t="n">
        <v>0.2</v>
      </c>
      <c r="E6" s="3"/>
      <c r="F6" s="3"/>
      <c r="G6" s="7" t="s">
        <v>7</v>
      </c>
      <c r="H6" s="7"/>
      <c r="I6" s="8" t="n">
        <f aca="false">FV(TAXA_MENSAL,PRAZO_ANOS*12,-APORTE,-PATRIMONIO_INICIAL,0)</f>
        <v>213226.168186313</v>
      </c>
      <c r="J6" s="3"/>
    </row>
    <row r="7" customFormat="false" ht="19.5" hidden="false" customHeight="true" outlineLevel="0" collapsed="false">
      <c r="A7" s="3"/>
      <c r="B7" s="5" t="s">
        <v>8</v>
      </c>
      <c r="C7" s="5"/>
      <c r="D7" s="10" t="n">
        <f aca="false">SALARIO*PERCENTUAL_INVESTIMENTO</f>
        <v>1000</v>
      </c>
      <c r="E7" s="3"/>
      <c r="F7" s="3"/>
      <c r="G7" s="7" t="s">
        <v>9</v>
      </c>
      <c r="H7" s="7"/>
      <c r="I7" s="8" t="n">
        <f aca="false">I6-I5</f>
        <v>88226.1681863134</v>
      </c>
      <c r="J7" s="3"/>
    </row>
    <row r="8" customFormat="false" ht="19.5" hidden="false" customHeight="true" outlineLevel="0" collapsed="false">
      <c r="A8" s="3"/>
      <c r="B8" s="5" t="s">
        <v>10</v>
      </c>
      <c r="C8" s="5"/>
      <c r="D8" s="6" t="n">
        <v>1000</v>
      </c>
      <c r="E8" s="3"/>
      <c r="F8" s="3"/>
      <c r="G8" s="7" t="s">
        <v>11</v>
      </c>
      <c r="H8" s="7"/>
      <c r="I8" s="8" t="n">
        <f aca="false">I6*DY_MENSAL</f>
        <v>1492.58317730419</v>
      </c>
      <c r="J8" s="3"/>
    </row>
    <row r="9" customFormat="false" ht="19.5" hidden="false" customHeight="true" outlineLevel="0" collapsed="false">
      <c r="A9" s="3"/>
      <c r="B9" s="5" t="s">
        <v>12</v>
      </c>
      <c r="C9" s="5"/>
      <c r="D9" s="6" t="n">
        <v>5000</v>
      </c>
      <c r="E9" s="3"/>
      <c r="F9" s="3"/>
      <c r="G9" s="7" t="s">
        <v>13</v>
      </c>
      <c r="H9" s="7"/>
      <c r="I9" s="8" t="n">
        <f aca="false">I8*12</f>
        <v>17910.9981276503</v>
      </c>
      <c r="J9" s="3"/>
    </row>
    <row r="10" customFormat="false" ht="19.5" hidden="false" customHeight="true" outlineLevel="0" collapsed="false">
      <c r="A10" s="3"/>
      <c r="B10" s="5" t="s">
        <v>14</v>
      </c>
      <c r="C10" s="5"/>
      <c r="D10" s="11" t="n">
        <v>10</v>
      </c>
      <c r="E10" s="3"/>
      <c r="F10" s="3"/>
      <c r="G10" s="7" t="s">
        <v>15</v>
      </c>
      <c r="H10" s="7"/>
      <c r="I10" s="12" t="str">
        <f aca="false">PERFIL</f>
        <v>Moderado</v>
      </c>
      <c r="J10" s="3"/>
    </row>
    <row r="11" customFormat="false" ht="19.5" hidden="false" customHeight="true" outlineLevel="0" collapsed="false">
      <c r="A11" s="3"/>
      <c r="B11" s="5" t="s">
        <v>16</v>
      </c>
      <c r="C11" s="5"/>
      <c r="D11" s="13" t="n">
        <v>0.008</v>
      </c>
      <c r="E11" s="3"/>
      <c r="F11" s="3"/>
      <c r="G11" s="7" t="s">
        <v>17</v>
      </c>
      <c r="H11" s="7"/>
      <c r="I11" s="14" t="n">
        <f aca="false">I7/I5</f>
        <v>0.705809345490507</v>
      </c>
      <c r="J11" s="3"/>
    </row>
    <row r="12" customFormat="false" ht="19.5" hidden="false" customHeight="true" outlineLevel="0" collapsed="false">
      <c r="A12" s="3"/>
      <c r="B12" s="5" t="s">
        <v>18</v>
      </c>
      <c r="C12" s="5"/>
      <c r="D12" s="13" t="n">
        <v>0.007</v>
      </c>
      <c r="E12" s="3"/>
      <c r="F12" s="3"/>
      <c r="G12" s="3"/>
      <c r="H12" s="3"/>
      <c r="I12" s="3"/>
      <c r="J12" s="3"/>
    </row>
    <row r="13" customFormat="false" ht="19.5" hidden="false" customHeight="true" outlineLevel="0" collapsed="false">
      <c r="A13" s="3"/>
      <c r="B13" s="5" t="s">
        <v>19</v>
      </c>
      <c r="C13" s="5"/>
      <c r="D13" s="15" t="s">
        <v>20</v>
      </c>
      <c r="E13" s="3"/>
      <c r="F13" s="3"/>
      <c r="G13" s="3"/>
      <c r="H13" s="3"/>
      <c r="I13" s="3"/>
      <c r="J13" s="3"/>
    </row>
    <row r="14" customFormat="false" ht="15.75" hidden="false" customHeight="true" outlineLevel="0" collapsed="false">
      <c r="A14" s="3"/>
      <c r="B14" s="16" t="s">
        <v>21</v>
      </c>
      <c r="C14" s="16"/>
      <c r="D14" s="17" t="str">
        <f aca="false">IF(APORTE&gt;=D7,"Acima/igual à sugestão ✓","Abaixo da sugestão")</f>
        <v>Acima/igual à sugestão ✓</v>
      </c>
      <c r="E14" s="3"/>
      <c r="F14" s="3"/>
      <c r="G14" s="3"/>
      <c r="H14" s="3"/>
      <c r="I14" s="3"/>
      <c r="J14" s="3"/>
    </row>
    <row r="15" customFormat="false" ht="18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21.75" hidden="false" customHeight="true" outlineLevel="0" collapsed="false">
      <c r="A16" s="3"/>
      <c r="B16" s="4" t="s">
        <v>22</v>
      </c>
      <c r="C16" s="4"/>
      <c r="D16" s="4"/>
      <c r="E16" s="4"/>
      <c r="F16" s="4"/>
      <c r="G16" s="4"/>
      <c r="H16" s="4"/>
      <c r="I16" s="4"/>
      <c r="J16" s="4"/>
    </row>
    <row r="17" customFormat="false" ht="30" hidden="false" customHeight="true" outlineLevel="0" collapsed="false">
      <c r="A17" s="3"/>
      <c r="B17" s="18" t="s">
        <v>23</v>
      </c>
      <c r="C17" s="3"/>
      <c r="D17" s="18" t="s">
        <v>24</v>
      </c>
      <c r="E17" s="3"/>
      <c r="F17" s="18" t="s">
        <v>25</v>
      </c>
      <c r="G17" s="3"/>
      <c r="H17" s="18" t="s">
        <v>26</v>
      </c>
      <c r="I17" s="3"/>
      <c r="J17" s="18" t="s">
        <v>27</v>
      </c>
    </row>
    <row r="18" customFormat="false" ht="18.75" hidden="false" customHeight="true" outlineLevel="0" collapsed="false">
      <c r="A18" s="3"/>
      <c r="B18" s="19" t="n">
        <v>2</v>
      </c>
      <c r="C18" s="3"/>
      <c r="D18" s="20" t="n">
        <f aca="false">PATRIMONIO_INICIAL+APORTE*B18*12</f>
        <v>29000</v>
      </c>
      <c r="E18" s="3"/>
      <c r="F18" s="21" t="n">
        <f aca="false">FV(TAXA_MENSAL,B18*12,-APORTE,-PATRIMONIO_INICIAL,0)</f>
        <v>32396.8813155642</v>
      </c>
      <c r="G18" s="3"/>
      <c r="H18" s="20" t="n">
        <f aca="false">F18-D18</f>
        <v>3396.8813155642</v>
      </c>
      <c r="I18" s="3"/>
      <c r="J18" s="20" t="n">
        <f aca="false">F18*DY_MENSAL</f>
        <v>226.778169208949</v>
      </c>
    </row>
    <row r="19" customFormat="false" ht="18.75" hidden="false" customHeight="true" outlineLevel="0" collapsed="false">
      <c r="A19" s="3"/>
      <c r="B19" s="19" t="n">
        <v>5</v>
      </c>
      <c r="C19" s="3"/>
      <c r="D19" s="20" t="n">
        <f aca="false">PATRIMONIO_INICIAL+APORTE*B19*12</f>
        <v>65000</v>
      </c>
      <c r="E19" s="3"/>
      <c r="F19" s="21" t="n">
        <f aca="false">FV(TAXA_MENSAL,B19*12,-APORTE,-PATRIMONIO_INICIAL,0)</f>
        <v>84688.821505155</v>
      </c>
      <c r="G19" s="3"/>
      <c r="H19" s="20" t="n">
        <f aca="false">F19-D19</f>
        <v>19688.821505155</v>
      </c>
      <c r="I19" s="3"/>
      <c r="J19" s="20" t="n">
        <f aca="false">F19*DY_MENSAL</f>
        <v>592.821750536085</v>
      </c>
    </row>
    <row r="20" customFormat="false" ht="18.75" hidden="false" customHeight="true" outlineLevel="0" collapsed="false">
      <c r="A20" s="3"/>
      <c r="B20" s="19" t="n">
        <v>10</v>
      </c>
      <c r="C20" s="3"/>
      <c r="D20" s="20" t="n">
        <f aca="false">PATRIMONIO_INICIAL+APORTE*B20*12</f>
        <v>125000</v>
      </c>
      <c r="E20" s="3"/>
      <c r="F20" s="21" t="n">
        <f aca="false">FV(TAXA_MENSAL,B20*12,-APORTE,-PATRIMONIO_INICIAL,0)</f>
        <v>213226.168186313</v>
      </c>
      <c r="G20" s="3"/>
      <c r="H20" s="20" t="n">
        <f aca="false">F20-D20</f>
        <v>88226.1681863134</v>
      </c>
      <c r="I20" s="3"/>
      <c r="J20" s="20" t="n">
        <f aca="false">F20*DY_MENSAL</f>
        <v>1492.58317730419</v>
      </c>
    </row>
    <row r="21" customFormat="false" ht="18.75" hidden="false" customHeight="true" outlineLevel="0" collapsed="false">
      <c r="A21" s="3"/>
      <c r="B21" s="19" t="n">
        <v>20</v>
      </c>
      <c r="C21" s="3"/>
      <c r="D21" s="20" t="n">
        <f aca="false">PATRIMONIO_INICIAL+APORTE*B21*12</f>
        <v>245000</v>
      </c>
      <c r="E21" s="3"/>
      <c r="F21" s="21" t="n">
        <f aca="false">FV(TAXA_MENSAL,B21*12,-APORTE,-PATRIMONIO_INICIAL,0)</f>
        <v>754976.468046126</v>
      </c>
      <c r="G21" s="3"/>
      <c r="H21" s="20" t="n">
        <f aca="false">F21-D21</f>
        <v>509976.468046126</v>
      </c>
      <c r="I21" s="3"/>
      <c r="J21" s="20" t="n">
        <f aca="false">F21*DY_MENSAL</f>
        <v>5284.83527632288</v>
      </c>
    </row>
    <row r="22" customFormat="false" ht="18.75" hidden="false" customHeight="true" outlineLevel="0" collapsed="false">
      <c r="A22" s="3"/>
      <c r="B22" s="19" t="n">
        <v>30</v>
      </c>
      <c r="C22" s="3"/>
      <c r="D22" s="20" t="n">
        <f aca="false">PATRIMONIO_INICIAL+APORTE*B22*12</f>
        <v>365000</v>
      </c>
      <c r="E22" s="3"/>
      <c r="F22" s="21" t="n">
        <f aca="false">FV(TAXA_MENSAL,B22*12,-APORTE,-PATRIMONIO_INICIAL,0)</f>
        <v>2164469.7606259</v>
      </c>
      <c r="G22" s="3"/>
      <c r="H22" s="20" t="n">
        <f aca="false">F22-D22</f>
        <v>1799469.7606259</v>
      </c>
      <c r="I22" s="3"/>
      <c r="J22" s="20" t="n">
        <f aca="false">F22*DY_MENSAL</f>
        <v>15151.2883243813</v>
      </c>
    </row>
    <row r="23" customFormat="false" ht="18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21.75" hidden="false" customHeight="true" outlineLevel="0" collapsed="false">
      <c r="A24" s="3"/>
      <c r="B24" s="4" t="s">
        <v>28</v>
      </c>
      <c r="C24" s="4"/>
      <c r="D24" s="4"/>
      <c r="E24" s="4"/>
      <c r="F24" s="4"/>
      <c r="G24" s="4"/>
      <c r="H24" s="4"/>
      <c r="I24" s="4"/>
      <c r="J24" s="4"/>
    </row>
    <row r="25" customFormat="false" ht="19.5" hidden="false" customHeight="true" outlineLevel="0" collapsed="false">
      <c r="A25" s="3"/>
      <c r="B25" s="22" t="s">
        <v>29</v>
      </c>
      <c r="C25" s="22"/>
      <c r="D25" s="23" t="s">
        <v>30</v>
      </c>
      <c r="E25" s="3"/>
      <c r="F25" s="22" t="s">
        <v>31</v>
      </c>
      <c r="G25" s="22"/>
      <c r="H25" s="3"/>
      <c r="I25" s="3"/>
      <c r="J25" s="3"/>
    </row>
    <row r="26" customFormat="false" ht="18.75" hidden="false" customHeight="true" outlineLevel="0" collapsed="false">
      <c r="A26" s="3"/>
      <c r="B26" s="24" t="s">
        <v>32</v>
      </c>
      <c r="C26" s="24"/>
      <c r="D26" s="14" t="n">
        <f aca="false">INDEX(BASE_FII!$B$5:$G$7,MATCH(PERFIL,BASE_FII!$A$5:$A$7,0),MATCH(B26,BASE_FII!$B$4:$G$4,0))</f>
        <v>0.25</v>
      </c>
      <c r="E26" s="3"/>
      <c r="F26" s="25" t="n">
        <f aca="false">D26*APORTE</f>
        <v>250</v>
      </c>
      <c r="G26" s="25"/>
      <c r="H26" s="3"/>
      <c r="I26" s="3"/>
      <c r="J26" s="3"/>
    </row>
    <row r="27" customFormat="false" ht="18.75" hidden="false" customHeight="true" outlineLevel="0" collapsed="false">
      <c r="A27" s="3"/>
      <c r="B27" s="24" t="s">
        <v>33</v>
      </c>
      <c r="C27" s="24"/>
      <c r="D27" s="14" t="n">
        <f aca="false">INDEX(BASE_FII!$B$5:$G$7,MATCH(PERFIL,BASE_FII!$A$5:$A$7,0),MATCH(B27,BASE_FII!$B$4:$G$4,0))</f>
        <v>0.25</v>
      </c>
      <c r="E27" s="3"/>
      <c r="F27" s="25" t="n">
        <f aca="false">D27*APORTE</f>
        <v>250</v>
      </c>
      <c r="G27" s="25"/>
      <c r="H27" s="3"/>
      <c r="I27" s="3"/>
      <c r="J27" s="3"/>
    </row>
    <row r="28" customFormat="false" ht="18.75" hidden="false" customHeight="true" outlineLevel="0" collapsed="false">
      <c r="A28" s="3"/>
      <c r="B28" s="24" t="s">
        <v>34</v>
      </c>
      <c r="C28" s="24"/>
      <c r="D28" s="14" t="n">
        <f aca="false">INDEX(BASE_FII!$B$5:$G$7,MATCH(PERFIL,BASE_FII!$A$5:$A$7,0),MATCH(B28,BASE_FII!$B$4:$G$4,0))</f>
        <v>0.2</v>
      </c>
      <c r="E28" s="3"/>
      <c r="F28" s="25" t="n">
        <f aca="false">D28*APORTE</f>
        <v>200</v>
      </c>
      <c r="G28" s="25"/>
      <c r="H28" s="3"/>
      <c r="I28" s="3"/>
      <c r="J28" s="3"/>
    </row>
    <row r="29" customFormat="false" ht="18.75" hidden="false" customHeight="true" outlineLevel="0" collapsed="false">
      <c r="A29" s="3"/>
      <c r="B29" s="24" t="s">
        <v>35</v>
      </c>
      <c r="C29" s="24"/>
      <c r="D29" s="14" t="n">
        <f aca="false">INDEX(BASE_FII!$B$5:$G$7,MATCH(PERFIL,BASE_FII!$A$5:$A$7,0),MATCH(B29,BASE_FII!$B$4:$G$4,0))</f>
        <v>0.15</v>
      </c>
      <c r="E29" s="3"/>
      <c r="F29" s="25" t="n">
        <f aca="false">D29*APORTE</f>
        <v>150</v>
      </c>
      <c r="G29" s="25"/>
      <c r="H29" s="3"/>
      <c r="I29" s="3"/>
      <c r="J29" s="3"/>
    </row>
    <row r="30" customFormat="false" ht="18.75" hidden="false" customHeight="true" outlineLevel="0" collapsed="false">
      <c r="A30" s="3"/>
      <c r="B30" s="24" t="s">
        <v>36</v>
      </c>
      <c r="C30" s="24"/>
      <c r="D30" s="14" t="n">
        <f aca="false">INDEX(BASE_FII!$B$5:$G$7,MATCH(PERFIL,BASE_FII!$A$5:$A$7,0),MATCH(B30,BASE_FII!$B$4:$G$4,0))</f>
        <v>0.1</v>
      </c>
      <c r="E30" s="3"/>
      <c r="F30" s="25" t="n">
        <f aca="false">D30*APORTE</f>
        <v>100</v>
      </c>
      <c r="G30" s="25"/>
      <c r="H30" s="3"/>
      <c r="I30" s="3"/>
      <c r="J30" s="3"/>
    </row>
    <row r="31" customFormat="false" ht="18.75" hidden="false" customHeight="true" outlineLevel="0" collapsed="false">
      <c r="A31" s="3"/>
      <c r="B31" s="24" t="s">
        <v>37</v>
      </c>
      <c r="C31" s="24"/>
      <c r="D31" s="14" t="n">
        <f aca="false">INDEX(BASE_FII!$B$5:$G$7,MATCH(PERFIL,BASE_FII!$A$5:$A$7,0),MATCH(B31,BASE_FII!$B$4:$G$4,0))</f>
        <v>0.05</v>
      </c>
      <c r="E31" s="3"/>
      <c r="F31" s="25" t="n">
        <f aca="false">D31*APORTE</f>
        <v>50</v>
      </c>
      <c r="G31" s="25"/>
      <c r="H31" s="3"/>
      <c r="I31" s="3"/>
      <c r="J31" s="3"/>
    </row>
    <row r="32" customFormat="false" ht="19.5" hidden="false" customHeight="true" outlineLevel="0" collapsed="false">
      <c r="A32" s="3"/>
      <c r="B32" s="26" t="s">
        <v>38</v>
      </c>
      <c r="C32" s="26"/>
      <c r="D32" s="27" t="n">
        <f aca="false">SUM(D26:D31)</f>
        <v>1</v>
      </c>
      <c r="E32" s="3"/>
      <c r="F32" s="28" t="n">
        <f aca="false">SUM(F26:F31)</f>
        <v>1000</v>
      </c>
      <c r="G32" s="28"/>
      <c r="H32" s="3"/>
      <c r="I32" s="3"/>
      <c r="J32" s="3"/>
    </row>
    <row r="33" customFormat="false" ht="18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21.75" hidden="false" customHeight="true" outlineLevel="0" collapsed="false">
      <c r="A34" s="3"/>
      <c r="B34" s="4" t="s">
        <v>39</v>
      </c>
      <c r="C34" s="4"/>
      <c r="D34" s="4"/>
      <c r="E34" s="4"/>
      <c r="F34" s="4"/>
      <c r="G34" s="4"/>
      <c r="H34" s="4"/>
      <c r="I34" s="4"/>
      <c r="J34" s="4"/>
    </row>
    <row r="35" customFormat="false" ht="18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8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8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8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8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8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8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8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8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8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8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8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8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8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8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8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8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8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8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8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7" customFormat="false" ht="15" hidden="false" customHeight="false" outlineLevel="0" collapsed="false">
      <c r="B57" s="29" t="s">
        <v>40</v>
      </c>
      <c r="C57" s="29"/>
      <c r="D57" s="29"/>
      <c r="E57" s="29"/>
      <c r="F57" s="29"/>
      <c r="G57" s="29"/>
      <c r="H57" s="29"/>
      <c r="I57" s="29"/>
      <c r="J57" s="29"/>
    </row>
  </sheetData>
  <mergeCells count="41">
    <mergeCell ref="A1:J1"/>
    <mergeCell ref="A2:J2"/>
    <mergeCell ref="B4:E4"/>
    <mergeCell ref="G4:J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B13:C13"/>
    <mergeCell ref="B14:C14"/>
    <mergeCell ref="B16:J16"/>
    <mergeCell ref="B24:J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4:J34"/>
    <mergeCell ref="B57:J57"/>
  </mergeCells>
  <dataValidations count="6">
    <dataValidation allowBlank="false" error="Selecione um perfil válido: Conservador, Moderado ou Agressivo." errorStyle="stop" errorTitle="Perfil inválido" operator="between" prompt="Escolha o perfil do investidor" promptTitle="Perfil do investidor" showDropDown="false" showErrorMessage="false" showInputMessage="false" sqref="D13" type="list">
      <formula1>"Conservador,Moderado,Agressivo"</formula1>
      <formula2>0</formula2>
    </dataValidation>
    <dataValidation allowBlank="false" error="Informe um número inteiro de anos entre 1 e 30." errorStyle="stop" errorTitle="Prazo inválido" operator="between" showDropDown="false" showErrorMessage="false" showInputMessage="false" sqref="D10" type="whole">
      <formula1>1</formula1>
      <formula2>30</formula2>
    </dataValidation>
    <dataValidation allowBlank="false" error="Informe um percentual entre 0% e 100% (ex.: 0,20 para 20%)." errorStyle="stop" errorTitle="Percentual inválido" operator="between" showDropDown="false" showErrorMessage="false" showInputMessage="false" sqref="D6" type="decimal">
      <formula1>0</formula1>
      <formula2>1</formula2>
    </dataValidation>
    <dataValidation allowBlank="false" error="O aporte mensal deve ser maior ou igual a zero." errorStyle="stop" errorTitle="Valor inválido" operator="greaterThanOrEqual" showDropDown="false" showErrorMessage="false" showInputMessage="false" sqref="D5 D8:D9" type="decimal">
      <formula1>0</formula1>
      <formula2>0</formula2>
    </dataValidation>
    <dataValidation allowBlank="false" error="Informe uma taxa mensal coerente, entre 0% e 10% (ex.: 0,008 para 0,80%)." errorStyle="stop" errorTitle="Taxa inválida" operator="between" showDropDown="false" showErrorMessage="false" showInputMessage="false" sqref="D11" type="decimal">
      <formula1>0</formula1>
      <formula2>0.1</formula2>
    </dataValidation>
    <dataValidation allowBlank="false" error="Informe um Dividend Yield mensal coerente, entre 0% e 10%." errorStyle="stop" errorTitle="DY inválido" operator="between" showDropDown="false" showErrorMessage="false" showInputMessage="false" sqref="D12" type="decimal">
      <formula1>0</formula1>
      <formula2>0.1</formula2>
    </dataValidation>
  </dataValidation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8B"/>
    <pageSetUpPr fitToPage="false"/>
  </sheetPr>
  <dimension ref="A1:H3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30" t="s">
        <v>41</v>
      </c>
      <c r="B1" s="30"/>
      <c r="C1" s="30"/>
      <c r="D1" s="30"/>
      <c r="E1" s="30"/>
      <c r="F1" s="30"/>
      <c r="G1" s="30"/>
      <c r="H1" s="30"/>
    </row>
    <row r="2" customFormat="false" ht="30" hidden="false" customHeight="true" outlineLevel="0" collapsed="false">
      <c r="A2" s="18" t="s">
        <v>42</v>
      </c>
      <c r="B2" s="18" t="s">
        <v>43</v>
      </c>
      <c r="C2" s="18" t="s">
        <v>44</v>
      </c>
      <c r="D2" s="18" t="s">
        <v>45</v>
      </c>
      <c r="E2" s="18" t="s">
        <v>46</v>
      </c>
      <c r="F2" s="18" t="s">
        <v>47</v>
      </c>
      <c r="G2" s="18" t="s">
        <v>48</v>
      </c>
      <c r="H2" s="18" t="s">
        <v>49</v>
      </c>
    </row>
    <row r="3" customFormat="false" ht="15" hidden="false" customHeight="false" outlineLevel="0" collapsed="false">
      <c r="A3" s="31" t="n">
        <v>1</v>
      </c>
      <c r="B3" s="31" t="n">
        <f aca="false">ROUNDUP(A3/12,0)</f>
        <v>1</v>
      </c>
      <c r="C3" s="32" t="n">
        <f aca="false">PATRIMONIO_INICIAL</f>
        <v>5000</v>
      </c>
      <c r="D3" s="32" t="n">
        <f aca="false">APORTE</f>
        <v>1000</v>
      </c>
      <c r="E3" s="32" t="n">
        <f aca="false">C3*TAXA_MENSAL</f>
        <v>40</v>
      </c>
      <c r="F3" s="32" t="n">
        <f aca="false">C3+D3+E3</f>
        <v>6040</v>
      </c>
      <c r="G3" s="32" t="n">
        <f aca="false">F3*DY_MENSAL</f>
        <v>42.28</v>
      </c>
      <c r="H3" s="32" t="n">
        <f aca="false">PATRIMONIO_INICIAL+D3</f>
        <v>6000</v>
      </c>
    </row>
    <row r="4" customFormat="false" ht="15" hidden="false" customHeight="false" outlineLevel="0" collapsed="false">
      <c r="A4" s="33" t="n">
        <v>2</v>
      </c>
      <c r="B4" s="33" t="n">
        <f aca="false">ROUNDUP(A4/12,0)</f>
        <v>1</v>
      </c>
      <c r="C4" s="34" t="n">
        <f aca="false">F3</f>
        <v>6040</v>
      </c>
      <c r="D4" s="34" t="n">
        <f aca="false">APORTE</f>
        <v>1000</v>
      </c>
      <c r="E4" s="34" t="n">
        <f aca="false">C4*TAXA_MENSAL</f>
        <v>48.32</v>
      </c>
      <c r="F4" s="34" t="n">
        <f aca="false">C4+D4+E4</f>
        <v>7088.32</v>
      </c>
      <c r="G4" s="34" t="n">
        <f aca="false">F4*DY_MENSAL</f>
        <v>49.61824</v>
      </c>
      <c r="H4" s="34" t="n">
        <f aca="false">H3+D4</f>
        <v>7000</v>
      </c>
    </row>
    <row r="5" customFormat="false" ht="15" hidden="false" customHeight="false" outlineLevel="0" collapsed="false">
      <c r="A5" s="31" t="n">
        <v>3</v>
      </c>
      <c r="B5" s="31" t="n">
        <f aca="false">ROUNDUP(A5/12,0)</f>
        <v>1</v>
      </c>
      <c r="C5" s="32" t="n">
        <f aca="false">F4</f>
        <v>7088.32</v>
      </c>
      <c r="D5" s="32" t="n">
        <f aca="false">APORTE</f>
        <v>1000</v>
      </c>
      <c r="E5" s="32" t="n">
        <f aca="false">C5*TAXA_MENSAL</f>
        <v>56.70656</v>
      </c>
      <c r="F5" s="32" t="n">
        <f aca="false">C5+D5+E5</f>
        <v>8145.02656</v>
      </c>
      <c r="G5" s="32" t="n">
        <f aca="false">F5*DY_MENSAL</f>
        <v>57.01518592</v>
      </c>
      <c r="H5" s="32" t="n">
        <f aca="false">H4+D5</f>
        <v>8000</v>
      </c>
    </row>
    <row r="6" customFormat="false" ht="15" hidden="false" customHeight="false" outlineLevel="0" collapsed="false">
      <c r="A6" s="33" t="n">
        <v>4</v>
      </c>
      <c r="B6" s="33" t="n">
        <f aca="false">ROUNDUP(A6/12,0)</f>
        <v>1</v>
      </c>
      <c r="C6" s="34" t="n">
        <f aca="false">F5</f>
        <v>8145.02656</v>
      </c>
      <c r="D6" s="34" t="n">
        <f aca="false">APORTE</f>
        <v>1000</v>
      </c>
      <c r="E6" s="34" t="n">
        <f aca="false">C6*TAXA_MENSAL</f>
        <v>65.16021248</v>
      </c>
      <c r="F6" s="34" t="n">
        <f aca="false">C6+D6+E6</f>
        <v>9210.18677248</v>
      </c>
      <c r="G6" s="34" t="n">
        <f aca="false">F6*DY_MENSAL</f>
        <v>64.47130740736</v>
      </c>
      <c r="H6" s="34" t="n">
        <f aca="false">H5+D6</f>
        <v>9000</v>
      </c>
    </row>
    <row r="7" customFormat="false" ht="15" hidden="false" customHeight="false" outlineLevel="0" collapsed="false">
      <c r="A7" s="31" t="n">
        <v>5</v>
      </c>
      <c r="B7" s="31" t="n">
        <f aca="false">ROUNDUP(A7/12,0)</f>
        <v>1</v>
      </c>
      <c r="C7" s="32" t="n">
        <f aca="false">F6</f>
        <v>9210.18677248</v>
      </c>
      <c r="D7" s="32" t="n">
        <f aca="false">APORTE</f>
        <v>1000</v>
      </c>
      <c r="E7" s="32" t="n">
        <f aca="false">C7*TAXA_MENSAL</f>
        <v>73.68149417984</v>
      </c>
      <c r="F7" s="32" t="n">
        <f aca="false">C7+D7+E7</f>
        <v>10283.8682666598</v>
      </c>
      <c r="G7" s="32" t="n">
        <f aca="false">F7*DY_MENSAL</f>
        <v>71.9870778666189</v>
      </c>
      <c r="H7" s="32" t="n">
        <f aca="false">H6+D7</f>
        <v>10000</v>
      </c>
    </row>
    <row r="8" customFormat="false" ht="15" hidden="false" customHeight="false" outlineLevel="0" collapsed="false">
      <c r="A8" s="33" t="n">
        <v>6</v>
      </c>
      <c r="B8" s="33" t="n">
        <f aca="false">ROUNDUP(A8/12,0)</f>
        <v>1</v>
      </c>
      <c r="C8" s="34" t="n">
        <f aca="false">F7</f>
        <v>10283.8682666598</v>
      </c>
      <c r="D8" s="34" t="n">
        <f aca="false">APORTE</f>
        <v>1000</v>
      </c>
      <c r="E8" s="34" t="n">
        <f aca="false">C8*TAXA_MENSAL</f>
        <v>82.2709461332787</v>
      </c>
      <c r="F8" s="34" t="n">
        <f aca="false">C8+D8+E8</f>
        <v>11366.1392127931</v>
      </c>
      <c r="G8" s="34" t="n">
        <f aca="false">F8*DY_MENSAL</f>
        <v>79.5629744895518</v>
      </c>
      <c r="H8" s="34" t="n">
        <f aca="false">H7+D8</f>
        <v>11000</v>
      </c>
    </row>
    <row r="9" customFormat="false" ht="15" hidden="false" customHeight="false" outlineLevel="0" collapsed="false">
      <c r="A9" s="31" t="n">
        <v>7</v>
      </c>
      <c r="B9" s="31" t="n">
        <f aca="false">ROUNDUP(A9/12,0)</f>
        <v>1</v>
      </c>
      <c r="C9" s="32" t="n">
        <f aca="false">F8</f>
        <v>11366.1392127931</v>
      </c>
      <c r="D9" s="32" t="n">
        <f aca="false">APORTE</f>
        <v>1000</v>
      </c>
      <c r="E9" s="32" t="n">
        <f aca="false">C9*TAXA_MENSAL</f>
        <v>90.9291137023449</v>
      </c>
      <c r="F9" s="32" t="n">
        <f aca="false">C9+D9+E9</f>
        <v>12457.0683264955</v>
      </c>
      <c r="G9" s="32" t="n">
        <f aca="false">F9*DY_MENSAL</f>
        <v>87.1994782854682</v>
      </c>
      <c r="H9" s="32" t="n">
        <f aca="false">H8+D9</f>
        <v>12000</v>
      </c>
    </row>
    <row r="10" customFormat="false" ht="15" hidden="false" customHeight="false" outlineLevel="0" collapsed="false">
      <c r="A10" s="33" t="n">
        <v>8</v>
      </c>
      <c r="B10" s="33" t="n">
        <f aca="false">ROUNDUP(A10/12,0)</f>
        <v>1</v>
      </c>
      <c r="C10" s="34" t="n">
        <f aca="false">F9</f>
        <v>12457.0683264955</v>
      </c>
      <c r="D10" s="34" t="n">
        <f aca="false">APORTE</f>
        <v>1000</v>
      </c>
      <c r="E10" s="34" t="n">
        <f aca="false">C10*TAXA_MENSAL</f>
        <v>99.6565466119637</v>
      </c>
      <c r="F10" s="34" t="n">
        <f aca="false">C10+D10+E10</f>
        <v>13556.7248731074</v>
      </c>
      <c r="G10" s="34" t="n">
        <f aca="false">F10*DY_MENSAL</f>
        <v>94.897074111752</v>
      </c>
      <c r="H10" s="34" t="n">
        <f aca="false">H9+D10</f>
        <v>13000</v>
      </c>
    </row>
    <row r="11" customFormat="false" ht="15" hidden="false" customHeight="false" outlineLevel="0" collapsed="false">
      <c r="A11" s="31" t="n">
        <v>9</v>
      </c>
      <c r="B11" s="31" t="n">
        <f aca="false">ROUNDUP(A11/12,0)</f>
        <v>1</v>
      </c>
      <c r="C11" s="32" t="n">
        <f aca="false">F10</f>
        <v>13556.7248731074</v>
      </c>
      <c r="D11" s="32" t="n">
        <f aca="false">APORTE</f>
        <v>1000</v>
      </c>
      <c r="E11" s="32" t="n">
        <f aca="false">C11*TAXA_MENSAL</f>
        <v>108.453798984859</v>
      </c>
      <c r="F11" s="32" t="n">
        <f aca="false">C11+D11+E11</f>
        <v>14665.1786720923</v>
      </c>
      <c r="G11" s="32" t="n">
        <f aca="false">F11*DY_MENSAL</f>
        <v>102.656250704646</v>
      </c>
      <c r="H11" s="32" t="n">
        <f aca="false">H10+D11</f>
        <v>14000</v>
      </c>
    </row>
    <row r="12" customFormat="false" ht="15" hidden="false" customHeight="false" outlineLevel="0" collapsed="false">
      <c r="A12" s="33" t="n">
        <v>10</v>
      </c>
      <c r="B12" s="33" t="n">
        <f aca="false">ROUNDUP(A12/12,0)</f>
        <v>1</v>
      </c>
      <c r="C12" s="34" t="n">
        <f aca="false">F11</f>
        <v>14665.1786720923</v>
      </c>
      <c r="D12" s="34" t="n">
        <f aca="false">APORTE</f>
        <v>1000</v>
      </c>
      <c r="E12" s="34" t="n">
        <f aca="false">C12*TAXA_MENSAL</f>
        <v>117.321429376738</v>
      </c>
      <c r="F12" s="34" t="n">
        <f aca="false">C12+D12+E12</f>
        <v>15782.500101469</v>
      </c>
      <c r="G12" s="34" t="n">
        <f aca="false">F12*DY_MENSAL</f>
        <v>110.477500710283</v>
      </c>
      <c r="H12" s="34" t="n">
        <f aca="false">H11+D12</f>
        <v>15000</v>
      </c>
    </row>
    <row r="13" customFormat="false" ht="15" hidden="false" customHeight="false" outlineLevel="0" collapsed="false">
      <c r="A13" s="31" t="n">
        <v>11</v>
      </c>
      <c r="B13" s="31" t="n">
        <f aca="false">ROUNDUP(A13/12,0)</f>
        <v>1</v>
      </c>
      <c r="C13" s="32" t="n">
        <f aca="false">F12</f>
        <v>15782.500101469</v>
      </c>
      <c r="D13" s="32" t="n">
        <f aca="false">APORTE</f>
        <v>1000</v>
      </c>
      <c r="E13" s="32" t="n">
        <f aca="false">C13*TAXA_MENSAL</f>
        <v>126.260000811752</v>
      </c>
      <c r="F13" s="32" t="n">
        <f aca="false">C13+D13+E13</f>
        <v>16908.7601022808</v>
      </c>
      <c r="G13" s="32" t="n">
        <f aca="false">F13*DY_MENSAL</f>
        <v>118.361320715965</v>
      </c>
      <c r="H13" s="32" t="n">
        <f aca="false">H12+D13</f>
        <v>16000</v>
      </c>
    </row>
    <row r="14" customFormat="false" ht="15" hidden="false" customHeight="false" outlineLevel="0" collapsed="false">
      <c r="A14" s="33" t="n">
        <v>12</v>
      </c>
      <c r="B14" s="33" t="n">
        <f aca="false">ROUNDUP(A14/12,0)</f>
        <v>1</v>
      </c>
      <c r="C14" s="34" t="n">
        <f aca="false">F13</f>
        <v>16908.7601022808</v>
      </c>
      <c r="D14" s="34" t="n">
        <f aca="false">APORTE</f>
        <v>1000</v>
      </c>
      <c r="E14" s="34" t="n">
        <f aca="false">C14*TAXA_MENSAL</f>
        <v>135.270080818246</v>
      </c>
      <c r="F14" s="34" t="n">
        <f aca="false">C14+D14+E14</f>
        <v>18044.030183099</v>
      </c>
      <c r="G14" s="34" t="n">
        <f aca="false">F14*DY_MENSAL</f>
        <v>126.308211281693</v>
      </c>
      <c r="H14" s="34" t="n">
        <f aca="false">H13+D14</f>
        <v>17000</v>
      </c>
    </row>
    <row r="15" customFormat="false" ht="15" hidden="false" customHeight="false" outlineLevel="0" collapsed="false">
      <c r="A15" s="31" t="n">
        <v>13</v>
      </c>
      <c r="B15" s="31" t="n">
        <f aca="false">ROUNDUP(A15/12,0)</f>
        <v>2</v>
      </c>
      <c r="C15" s="32" t="n">
        <f aca="false">F14</f>
        <v>18044.030183099</v>
      </c>
      <c r="D15" s="32" t="n">
        <f aca="false">APORTE</f>
        <v>1000</v>
      </c>
      <c r="E15" s="32" t="n">
        <f aca="false">C15*TAXA_MENSAL</f>
        <v>144.352241464792</v>
      </c>
      <c r="F15" s="32" t="n">
        <f aca="false">C15+D15+E15</f>
        <v>19188.3824245638</v>
      </c>
      <c r="G15" s="32" t="n">
        <f aca="false">F15*DY_MENSAL</f>
        <v>134.318676971947</v>
      </c>
      <c r="H15" s="32" t="n">
        <f aca="false">H14+D15</f>
        <v>18000</v>
      </c>
    </row>
    <row r="16" customFormat="false" ht="15" hidden="false" customHeight="false" outlineLevel="0" collapsed="false">
      <c r="A16" s="33" t="n">
        <v>14</v>
      </c>
      <c r="B16" s="33" t="n">
        <f aca="false">ROUNDUP(A16/12,0)</f>
        <v>2</v>
      </c>
      <c r="C16" s="34" t="n">
        <f aca="false">F15</f>
        <v>19188.3824245638</v>
      </c>
      <c r="D16" s="34" t="n">
        <f aca="false">APORTE</f>
        <v>1000</v>
      </c>
      <c r="E16" s="34" t="n">
        <f aca="false">C16*TAXA_MENSAL</f>
        <v>153.50705939651</v>
      </c>
      <c r="F16" s="34" t="n">
        <f aca="false">C16+D16+E16</f>
        <v>20341.8894839603</v>
      </c>
      <c r="G16" s="34" t="n">
        <f aca="false">F16*DY_MENSAL</f>
        <v>142.393226387722</v>
      </c>
      <c r="H16" s="34" t="n">
        <f aca="false">H15+D16</f>
        <v>19000</v>
      </c>
    </row>
    <row r="17" customFormat="false" ht="15" hidden="false" customHeight="false" outlineLevel="0" collapsed="false">
      <c r="A17" s="31" t="n">
        <v>15</v>
      </c>
      <c r="B17" s="31" t="n">
        <f aca="false">ROUNDUP(A17/12,0)</f>
        <v>2</v>
      </c>
      <c r="C17" s="32" t="n">
        <f aca="false">F16</f>
        <v>20341.8894839603</v>
      </c>
      <c r="D17" s="32" t="n">
        <f aca="false">APORTE</f>
        <v>1000</v>
      </c>
      <c r="E17" s="32" t="n">
        <f aca="false">C17*TAXA_MENSAL</f>
        <v>162.735115871683</v>
      </c>
      <c r="F17" s="32" t="n">
        <f aca="false">C17+D17+E17</f>
        <v>21504.624599832</v>
      </c>
      <c r="G17" s="32" t="n">
        <f aca="false">F17*DY_MENSAL</f>
        <v>150.532372198824</v>
      </c>
      <c r="H17" s="32" t="n">
        <f aca="false">H16+D17</f>
        <v>20000</v>
      </c>
    </row>
    <row r="18" customFormat="false" ht="15" hidden="false" customHeight="false" outlineLevel="0" collapsed="false">
      <c r="A18" s="33" t="n">
        <v>16</v>
      </c>
      <c r="B18" s="33" t="n">
        <f aca="false">ROUNDUP(A18/12,0)</f>
        <v>2</v>
      </c>
      <c r="C18" s="34" t="n">
        <f aca="false">F17</f>
        <v>21504.624599832</v>
      </c>
      <c r="D18" s="34" t="n">
        <f aca="false">APORTE</f>
        <v>1000</v>
      </c>
      <c r="E18" s="34" t="n">
        <f aca="false">C18*TAXA_MENSAL</f>
        <v>172.036996798656</v>
      </c>
      <c r="F18" s="34" t="n">
        <f aca="false">C18+D18+E18</f>
        <v>22676.6615966307</v>
      </c>
      <c r="G18" s="34" t="n">
        <f aca="false">F18*DY_MENSAL</f>
        <v>158.736631176415</v>
      </c>
      <c r="H18" s="34" t="n">
        <f aca="false">H17+D18</f>
        <v>21000</v>
      </c>
    </row>
    <row r="19" customFormat="false" ht="15" hidden="false" customHeight="false" outlineLevel="0" collapsed="false">
      <c r="A19" s="31" t="n">
        <v>17</v>
      </c>
      <c r="B19" s="31" t="n">
        <f aca="false">ROUNDUP(A19/12,0)</f>
        <v>2</v>
      </c>
      <c r="C19" s="32" t="n">
        <f aca="false">F18</f>
        <v>22676.6615966307</v>
      </c>
      <c r="D19" s="32" t="n">
        <f aca="false">APORTE</f>
        <v>1000</v>
      </c>
      <c r="E19" s="32" t="n">
        <f aca="false">C19*TAXA_MENSAL</f>
        <v>181.413292773045</v>
      </c>
      <c r="F19" s="32" t="n">
        <f aca="false">C19+D19+E19</f>
        <v>23858.0748894037</v>
      </c>
      <c r="G19" s="32" t="n">
        <f aca="false">F19*DY_MENSAL</f>
        <v>167.006524225826</v>
      </c>
      <c r="H19" s="32" t="n">
        <f aca="false">H18+D19</f>
        <v>22000</v>
      </c>
    </row>
    <row r="20" customFormat="false" ht="15" hidden="false" customHeight="false" outlineLevel="0" collapsed="false">
      <c r="A20" s="33" t="n">
        <v>18</v>
      </c>
      <c r="B20" s="33" t="n">
        <f aca="false">ROUNDUP(A20/12,0)</f>
        <v>2</v>
      </c>
      <c r="C20" s="34" t="n">
        <f aca="false">F19</f>
        <v>23858.0748894037</v>
      </c>
      <c r="D20" s="34" t="n">
        <f aca="false">APORTE</f>
        <v>1000</v>
      </c>
      <c r="E20" s="34" t="n">
        <f aca="false">C20*TAXA_MENSAL</f>
        <v>190.86459911523</v>
      </c>
      <c r="F20" s="34" t="n">
        <f aca="false">C20+D20+E20</f>
        <v>25048.9394885189</v>
      </c>
      <c r="G20" s="34" t="n">
        <f aca="false">F20*DY_MENSAL</f>
        <v>175.342576419633</v>
      </c>
      <c r="H20" s="34" t="n">
        <f aca="false">H19+D20</f>
        <v>23000</v>
      </c>
    </row>
    <row r="21" customFormat="false" ht="15" hidden="false" customHeight="false" outlineLevel="0" collapsed="false">
      <c r="A21" s="31" t="n">
        <v>19</v>
      </c>
      <c r="B21" s="31" t="n">
        <f aca="false">ROUNDUP(A21/12,0)</f>
        <v>2</v>
      </c>
      <c r="C21" s="32" t="n">
        <f aca="false">F20</f>
        <v>25048.9394885189</v>
      </c>
      <c r="D21" s="32" t="n">
        <f aca="false">APORTE</f>
        <v>1000</v>
      </c>
      <c r="E21" s="32" t="n">
        <f aca="false">C21*TAXA_MENSAL</f>
        <v>200.391515908151</v>
      </c>
      <c r="F21" s="32" t="n">
        <f aca="false">C21+D21+E21</f>
        <v>26249.3310044271</v>
      </c>
      <c r="G21" s="32" t="n">
        <f aca="false">F21*DY_MENSAL</f>
        <v>183.74531703099</v>
      </c>
      <c r="H21" s="32" t="n">
        <f aca="false">H20+D21</f>
        <v>24000</v>
      </c>
    </row>
    <row r="22" customFormat="false" ht="15" hidden="false" customHeight="false" outlineLevel="0" collapsed="false">
      <c r="A22" s="33" t="n">
        <v>20</v>
      </c>
      <c r="B22" s="33" t="n">
        <f aca="false">ROUNDUP(A22/12,0)</f>
        <v>2</v>
      </c>
      <c r="C22" s="34" t="n">
        <f aca="false">F21</f>
        <v>26249.3310044271</v>
      </c>
      <c r="D22" s="34" t="n">
        <f aca="false">APORTE</f>
        <v>1000</v>
      </c>
      <c r="E22" s="34" t="n">
        <f aca="false">C22*TAXA_MENSAL</f>
        <v>209.994648035417</v>
      </c>
      <c r="F22" s="34" t="n">
        <f aca="false">C22+D22+E22</f>
        <v>27459.3256524625</v>
      </c>
      <c r="G22" s="34" t="n">
        <f aca="false">F22*DY_MENSAL</f>
        <v>192.215279567238</v>
      </c>
      <c r="H22" s="34" t="n">
        <f aca="false">H21+D22</f>
        <v>25000</v>
      </c>
    </row>
    <row r="23" customFormat="false" ht="15" hidden="false" customHeight="false" outlineLevel="0" collapsed="false">
      <c r="A23" s="31" t="n">
        <v>21</v>
      </c>
      <c r="B23" s="31" t="n">
        <f aca="false">ROUNDUP(A23/12,0)</f>
        <v>2</v>
      </c>
      <c r="C23" s="32" t="n">
        <f aca="false">F22</f>
        <v>27459.3256524625</v>
      </c>
      <c r="D23" s="32" t="n">
        <f aca="false">APORTE</f>
        <v>1000</v>
      </c>
      <c r="E23" s="32" t="n">
        <f aca="false">C23*TAXA_MENSAL</f>
        <v>219.6746052197</v>
      </c>
      <c r="F23" s="32" t="n">
        <f aca="false">C23+D23+E23</f>
        <v>28679.0002576822</v>
      </c>
      <c r="G23" s="32" t="n">
        <f aca="false">F23*DY_MENSAL</f>
        <v>200.753001803775</v>
      </c>
      <c r="H23" s="32" t="n">
        <f aca="false">H22+D23</f>
        <v>26000</v>
      </c>
    </row>
    <row r="24" customFormat="false" ht="15" hidden="false" customHeight="false" outlineLevel="0" collapsed="false">
      <c r="A24" s="33" t="n">
        <v>22</v>
      </c>
      <c r="B24" s="33" t="n">
        <f aca="false">ROUNDUP(A24/12,0)</f>
        <v>2</v>
      </c>
      <c r="C24" s="34" t="n">
        <f aca="false">F23</f>
        <v>28679.0002576822</v>
      </c>
      <c r="D24" s="34" t="n">
        <f aca="false">APORTE</f>
        <v>1000</v>
      </c>
      <c r="E24" s="34" t="n">
        <f aca="false">C24*TAXA_MENSAL</f>
        <v>229.432002061458</v>
      </c>
      <c r="F24" s="34" t="n">
        <f aca="false">C24+D24+E24</f>
        <v>29908.4322597437</v>
      </c>
      <c r="G24" s="34" t="n">
        <f aca="false">F24*DY_MENSAL</f>
        <v>209.359025818206</v>
      </c>
      <c r="H24" s="34" t="n">
        <f aca="false">H23+D24</f>
        <v>27000</v>
      </c>
    </row>
    <row r="25" customFormat="false" ht="15" hidden="false" customHeight="false" outlineLevel="0" collapsed="false">
      <c r="A25" s="31" t="n">
        <v>23</v>
      </c>
      <c r="B25" s="31" t="n">
        <f aca="false">ROUNDUP(A25/12,0)</f>
        <v>2</v>
      </c>
      <c r="C25" s="32" t="n">
        <f aca="false">F24</f>
        <v>29908.4322597437</v>
      </c>
      <c r="D25" s="32" t="n">
        <f aca="false">APORTE</f>
        <v>1000</v>
      </c>
      <c r="E25" s="32" t="n">
        <f aca="false">C25*TAXA_MENSAL</f>
        <v>239.267458077949</v>
      </c>
      <c r="F25" s="32" t="n">
        <f aca="false">C25+D25+E25</f>
        <v>31147.6997178216</v>
      </c>
      <c r="G25" s="32" t="n">
        <f aca="false">F25*DY_MENSAL</f>
        <v>218.033898024751</v>
      </c>
      <c r="H25" s="32" t="n">
        <f aca="false">H24+D25</f>
        <v>28000</v>
      </c>
    </row>
    <row r="26" customFormat="false" ht="15" hidden="false" customHeight="false" outlineLevel="0" collapsed="false">
      <c r="A26" s="33" t="n">
        <v>24</v>
      </c>
      <c r="B26" s="33" t="n">
        <f aca="false">ROUNDUP(A26/12,0)</f>
        <v>2</v>
      </c>
      <c r="C26" s="34" t="n">
        <f aca="false">F25</f>
        <v>31147.6997178216</v>
      </c>
      <c r="D26" s="34" t="n">
        <f aca="false">APORTE</f>
        <v>1000</v>
      </c>
      <c r="E26" s="34" t="n">
        <f aca="false">C26*TAXA_MENSAL</f>
        <v>249.181597742573</v>
      </c>
      <c r="F26" s="34" t="n">
        <f aca="false">C26+D26+E26</f>
        <v>32396.8813155642</v>
      </c>
      <c r="G26" s="34" t="n">
        <f aca="false">F26*DY_MENSAL</f>
        <v>226.778169208949</v>
      </c>
      <c r="H26" s="34" t="n">
        <f aca="false">H25+D26</f>
        <v>29000</v>
      </c>
    </row>
    <row r="27" customFormat="false" ht="15" hidden="false" customHeight="false" outlineLevel="0" collapsed="false">
      <c r="A27" s="31" t="n">
        <v>25</v>
      </c>
      <c r="B27" s="31" t="n">
        <f aca="false">ROUNDUP(A27/12,0)</f>
        <v>3</v>
      </c>
      <c r="C27" s="32" t="n">
        <f aca="false">F26</f>
        <v>32396.8813155642</v>
      </c>
      <c r="D27" s="32" t="n">
        <f aca="false">APORTE</f>
        <v>1000</v>
      </c>
      <c r="E27" s="32" t="n">
        <f aca="false">C27*TAXA_MENSAL</f>
        <v>259.175050524513</v>
      </c>
      <c r="F27" s="32" t="n">
        <f aca="false">C27+D27+E27</f>
        <v>33656.0563660887</v>
      </c>
      <c r="G27" s="32" t="n">
        <f aca="false">F27*DY_MENSAL</f>
        <v>235.592394562621</v>
      </c>
      <c r="H27" s="32" t="n">
        <f aca="false">H26+D27</f>
        <v>30000</v>
      </c>
    </row>
    <row r="28" customFormat="false" ht="15" hidden="false" customHeight="false" outlineLevel="0" collapsed="false">
      <c r="A28" s="33" t="n">
        <v>26</v>
      </c>
      <c r="B28" s="33" t="n">
        <f aca="false">ROUNDUP(A28/12,0)</f>
        <v>3</v>
      </c>
      <c r="C28" s="34" t="n">
        <f aca="false">F27</f>
        <v>33656.0563660887</v>
      </c>
      <c r="D28" s="34" t="n">
        <f aca="false">APORTE</f>
        <v>1000</v>
      </c>
      <c r="E28" s="34" t="n">
        <f aca="false">C28*TAXA_MENSAL</f>
        <v>269.24845092871</v>
      </c>
      <c r="F28" s="34" t="n">
        <f aca="false">C28+D28+E28</f>
        <v>34925.3048170174</v>
      </c>
      <c r="G28" s="34" t="n">
        <f aca="false">F28*DY_MENSAL</f>
        <v>244.477133719122</v>
      </c>
      <c r="H28" s="34" t="n">
        <f aca="false">H27+D28</f>
        <v>31000</v>
      </c>
    </row>
    <row r="29" customFormat="false" ht="15" hidden="false" customHeight="false" outlineLevel="0" collapsed="false">
      <c r="A29" s="31" t="n">
        <v>27</v>
      </c>
      <c r="B29" s="31" t="n">
        <f aca="false">ROUNDUP(A29/12,0)</f>
        <v>3</v>
      </c>
      <c r="C29" s="32" t="n">
        <f aca="false">F28</f>
        <v>34925.3048170174</v>
      </c>
      <c r="D29" s="32" t="n">
        <f aca="false">APORTE</f>
        <v>1000</v>
      </c>
      <c r="E29" s="32" t="n">
        <f aca="false">C29*TAXA_MENSAL</f>
        <v>279.402438536139</v>
      </c>
      <c r="F29" s="32" t="n">
        <f aca="false">C29+D29+E29</f>
        <v>36204.7072555536</v>
      </c>
      <c r="G29" s="32" t="n">
        <f aca="false">F29*DY_MENSAL</f>
        <v>253.432950788875</v>
      </c>
      <c r="H29" s="32" t="n">
        <f aca="false">H28+D29</f>
        <v>32000</v>
      </c>
    </row>
    <row r="30" customFormat="false" ht="15" hidden="false" customHeight="false" outlineLevel="0" collapsed="false">
      <c r="A30" s="33" t="n">
        <v>28</v>
      </c>
      <c r="B30" s="33" t="n">
        <f aca="false">ROUNDUP(A30/12,0)</f>
        <v>3</v>
      </c>
      <c r="C30" s="34" t="n">
        <f aca="false">F29</f>
        <v>36204.7072555536</v>
      </c>
      <c r="D30" s="34" t="n">
        <f aca="false">APORTE</f>
        <v>1000</v>
      </c>
      <c r="E30" s="34" t="n">
        <f aca="false">C30*TAXA_MENSAL</f>
        <v>289.637658044428</v>
      </c>
      <c r="F30" s="34" t="n">
        <f aca="false">C30+D30+E30</f>
        <v>37494.344913598</v>
      </c>
      <c r="G30" s="34" t="n">
        <f aca="false">F30*DY_MENSAL</f>
        <v>262.460414395186</v>
      </c>
      <c r="H30" s="34" t="n">
        <f aca="false">H29+D30</f>
        <v>33000</v>
      </c>
    </row>
    <row r="31" customFormat="false" ht="15" hidden="false" customHeight="false" outlineLevel="0" collapsed="false">
      <c r="A31" s="31" t="n">
        <v>29</v>
      </c>
      <c r="B31" s="31" t="n">
        <f aca="false">ROUNDUP(A31/12,0)</f>
        <v>3</v>
      </c>
      <c r="C31" s="32" t="n">
        <f aca="false">F30</f>
        <v>37494.344913598</v>
      </c>
      <c r="D31" s="32" t="n">
        <f aca="false">APORTE</f>
        <v>1000</v>
      </c>
      <c r="E31" s="32" t="n">
        <f aca="false">C31*TAXA_MENSAL</f>
        <v>299.954759308784</v>
      </c>
      <c r="F31" s="32" t="n">
        <f aca="false">C31+D31+E31</f>
        <v>38794.2996729068</v>
      </c>
      <c r="G31" s="32" t="n">
        <f aca="false">F31*DY_MENSAL</f>
        <v>271.560097710347</v>
      </c>
      <c r="H31" s="32" t="n">
        <f aca="false">H30+D31</f>
        <v>34000</v>
      </c>
    </row>
    <row r="32" customFormat="false" ht="15" hidden="false" customHeight="false" outlineLevel="0" collapsed="false">
      <c r="A32" s="33" t="n">
        <v>30</v>
      </c>
      <c r="B32" s="33" t="n">
        <f aca="false">ROUNDUP(A32/12,0)</f>
        <v>3</v>
      </c>
      <c r="C32" s="34" t="n">
        <f aca="false">F31</f>
        <v>38794.2996729068</v>
      </c>
      <c r="D32" s="34" t="n">
        <f aca="false">APORTE</f>
        <v>1000</v>
      </c>
      <c r="E32" s="34" t="n">
        <f aca="false">C32*TAXA_MENSAL</f>
        <v>310.354397383254</v>
      </c>
      <c r="F32" s="34" t="n">
        <f aca="false">C32+D32+E32</f>
        <v>40104.65407029</v>
      </c>
      <c r="G32" s="34" t="n">
        <f aca="false">F32*DY_MENSAL</f>
        <v>280.73257849203</v>
      </c>
      <c r="H32" s="34" t="n">
        <f aca="false">H31+D32</f>
        <v>35000</v>
      </c>
    </row>
    <row r="33" customFormat="false" ht="15" hidden="false" customHeight="false" outlineLevel="0" collapsed="false">
      <c r="A33" s="31" t="n">
        <v>31</v>
      </c>
      <c r="B33" s="31" t="n">
        <f aca="false">ROUNDUP(A33/12,0)</f>
        <v>3</v>
      </c>
      <c r="C33" s="32" t="n">
        <f aca="false">F32</f>
        <v>40104.65407029</v>
      </c>
      <c r="D33" s="32" t="n">
        <f aca="false">APORTE</f>
        <v>1000</v>
      </c>
      <c r="E33" s="32" t="n">
        <f aca="false">C33*TAXA_MENSAL</f>
        <v>320.83723256232</v>
      </c>
      <c r="F33" s="32" t="n">
        <f aca="false">C33+D33+E33</f>
        <v>41425.4913028523</v>
      </c>
      <c r="G33" s="32" t="n">
        <f aca="false">F33*DY_MENSAL</f>
        <v>289.978439119966</v>
      </c>
      <c r="H33" s="32" t="n">
        <f aca="false">H32+D33</f>
        <v>36000</v>
      </c>
    </row>
    <row r="34" customFormat="false" ht="15" hidden="false" customHeight="false" outlineLevel="0" collapsed="false">
      <c r="A34" s="33" t="n">
        <v>32</v>
      </c>
      <c r="B34" s="33" t="n">
        <f aca="false">ROUNDUP(A34/12,0)</f>
        <v>3</v>
      </c>
      <c r="C34" s="34" t="n">
        <f aca="false">F33</f>
        <v>41425.4913028523</v>
      </c>
      <c r="D34" s="34" t="n">
        <f aca="false">APORTE</f>
        <v>1000</v>
      </c>
      <c r="E34" s="34" t="n">
        <f aca="false">C34*TAXA_MENSAL</f>
        <v>331.403930422819</v>
      </c>
      <c r="F34" s="34" t="n">
        <f aca="false">C34+D34+E34</f>
        <v>42756.8952332752</v>
      </c>
      <c r="G34" s="34" t="n">
        <f aca="false">F34*DY_MENSAL</f>
        <v>299.298266632926</v>
      </c>
      <c r="H34" s="34" t="n">
        <f aca="false">H33+D34</f>
        <v>37000</v>
      </c>
    </row>
    <row r="35" customFormat="false" ht="15" hidden="false" customHeight="false" outlineLevel="0" collapsed="false">
      <c r="A35" s="31" t="n">
        <v>33</v>
      </c>
      <c r="B35" s="31" t="n">
        <f aca="false">ROUNDUP(A35/12,0)</f>
        <v>3</v>
      </c>
      <c r="C35" s="32" t="n">
        <f aca="false">F34</f>
        <v>42756.8952332752</v>
      </c>
      <c r="D35" s="32" t="n">
        <f aca="false">APORTE</f>
        <v>1000</v>
      </c>
      <c r="E35" s="32" t="n">
        <f aca="false">C35*TAXA_MENSAL</f>
        <v>342.055161866201</v>
      </c>
      <c r="F35" s="32" t="n">
        <f aca="false">C35+D35+E35</f>
        <v>44098.9503951414</v>
      </c>
      <c r="G35" s="32" t="n">
        <f aca="false">F35*DY_MENSAL</f>
        <v>308.69265276599</v>
      </c>
      <c r="H35" s="32" t="n">
        <f aca="false">H34+D35</f>
        <v>38000</v>
      </c>
    </row>
    <row r="36" customFormat="false" ht="15" hidden="false" customHeight="false" outlineLevel="0" collapsed="false">
      <c r="A36" s="33" t="n">
        <v>34</v>
      </c>
      <c r="B36" s="33" t="n">
        <f aca="false">ROUNDUP(A36/12,0)</f>
        <v>3</v>
      </c>
      <c r="C36" s="34" t="n">
        <f aca="false">F35</f>
        <v>44098.9503951414</v>
      </c>
      <c r="D36" s="34" t="n">
        <f aca="false">APORTE</f>
        <v>1000</v>
      </c>
      <c r="E36" s="34" t="n">
        <f aca="false">C36*TAXA_MENSAL</f>
        <v>352.791603161131</v>
      </c>
      <c r="F36" s="34" t="n">
        <f aca="false">C36+D36+E36</f>
        <v>45451.7419983025</v>
      </c>
      <c r="G36" s="34" t="n">
        <f aca="false">F36*DY_MENSAL</f>
        <v>318.162193988117</v>
      </c>
      <c r="H36" s="34" t="n">
        <f aca="false">H35+D36</f>
        <v>39000</v>
      </c>
    </row>
    <row r="37" customFormat="false" ht="15" hidden="false" customHeight="false" outlineLevel="0" collapsed="false">
      <c r="A37" s="31" t="n">
        <v>35</v>
      </c>
      <c r="B37" s="31" t="n">
        <f aca="false">ROUNDUP(A37/12,0)</f>
        <v>3</v>
      </c>
      <c r="C37" s="32" t="n">
        <f aca="false">F36</f>
        <v>45451.7419983025</v>
      </c>
      <c r="D37" s="32" t="n">
        <f aca="false">APORTE</f>
        <v>1000</v>
      </c>
      <c r="E37" s="32" t="n">
        <f aca="false">C37*TAXA_MENSAL</f>
        <v>363.61393598642</v>
      </c>
      <c r="F37" s="32" t="n">
        <f aca="false">C37+D37+E37</f>
        <v>46815.3559342889</v>
      </c>
      <c r="G37" s="32" t="n">
        <f aca="false">F37*DY_MENSAL</f>
        <v>327.707491540022</v>
      </c>
      <c r="H37" s="32" t="n">
        <f aca="false">H36+D37</f>
        <v>40000</v>
      </c>
    </row>
    <row r="38" customFormat="false" ht="15" hidden="false" customHeight="false" outlineLevel="0" collapsed="false">
      <c r="A38" s="33" t="n">
        <v>36</v>
      </c>
      <c r="B38" s="33" t="n">
        <f aca="false">ROUNDUP(A38/12,0)</f>
        <v>3</v>
      </c>
      <c r="C38" s="34" t="n">
        <f aca="false">F37</f>
        <v>46815.3559342889</v>
      </c>
      <c r="D38" s="34" t="n">
        <f aca="false">APORTE</f>
        <v>1000</v>
      </c>
      <c r="E38" s="34" t="n">
        <f aca="false">C38*TAXA_MENSAL</f>
        <v>374.522847474311</v>
      </c>
      <c r="F38" s="34" t="n">
        <f aca="false">C38+D38+E38</f>
        <v>48189.8787817632</v>
      </c>
      <c r="G38" s="34" t="n">
        <f aca="false">F38*DY_MENSAL</f>
        <v>337.329151472343</v>
      </c>
      <c r="H38" s="34" t="n">
        <f aca="false">H37+D38</f>
        <v>41000</v>
      </c>
    </row>
    <row r="39" customFormat="false" ht="15" hidden="false" customHeight="false" outlineLevel="0" collapsed="false">
      <c r="A39" s="31" t="n">
        <v>37</v>
      </c>
      <c r="B39" s="31" t="n">
        <f aca="false">ROUNDUP(A39/12,0)</f>
        <v>4</v>
      </c>
      <c r="C39" s="32" t="n">
        <f aca="false">F38</f>
        <v>48189.8787817632</v>
      </c>
      <c r="D39" s="32" t="n">
        <f aca="false">APORTE</f>
        <v>1000</v>
      </c>
      <c r="E39" s="32" t="n">
        <f aca="false">C39*TAXA_MENSAL</f>
        <v>385.519030254106</v>
      </c>
      <c r="F39" s="32" t="n">
        <f aca="false">C39+D39+E39</f>
        <v>49575.3978120173</v>
      </c>
      <c r="G39" s="32" t="n">
        <f aca="false">F39*DY_MENSAL</f>
        <v>347.027784684121</v>
      </c>
      <c r="H39" s="32" t="n">
        <f aca="false">H38+D39</f>
        <v>42000</v>
      </c>
    </row>
    <row r="40" customFormat="false" ht="15" hidden="false" customHeight="false" outlineLevel="0" collapsed="false">
      <c r="A40" s="33" t="n">
        <v>38</v>
      </c>
      <c r="B40" s="33" t="n">
        <f aca="false">ROUNDUP(A40/12,0)</f>
        <v>4</v>
      </c>
      <c r="C40" s="34" t="n">
        <f aca="false">F39</f>
        <v>49575.3978120173</v>
      </c>
      <c r="D40" s="34" t="n">
        <f aca="false">APORTE</f>
        <v>1000</v>
      </c>
      <c r="E40" s="34" t="n">
        <f aca="false">C40*TAXA_MENSAL</f>
        <v>396.603182496139</v>
      </c>
      <c r="F40" s="34" t="n">
        <f aca="false">C40+D40+E40</f>
        <v>50972.0009945135</v>
      </c>
      <c r="G40" s="34" t="n">
        <f aca="false">F40*DY_MENSAL</f>
        <v>356.804006961594</v>
      </c>
      <c r="H40" s="34" t="n">
        <f aca="false">H39+D40</f>
        <v>43000</v>
      </c>
    </row>
    <row r="41" customFormat="false" ht="15" hidden="false" customHeight="false" outlineLevel="0" collapsed="false">
      <c r="A41" s="31" t="n">
        <v>39</v>
      </c>
      <c r="B41" s="31" t="n">
        <f aca="false">ROUNDUP(A41/12,0)</f>
        <v>4</v>
      </c>
      <c r="C41" s="32" t="n">
        <f aca="false">F40</f>
        <v>50972.0009945135</v>
      </c>
      <c r="D41" s="32" t="n">
        <f aca="false">APORTE</f>
        <v>1000</v>
      </c>
      <c r="E41" s="32" t="n">
        <f aca="false">C41*TAXA_MENSAL</f>
        <v>407.776007956108</v>
      </c>
      <c r="F41" s="32" t="n">
        <f aca="false">C41+D41+E41</f>
        <v>52379.7770024696</v>
      </c>
      <c r="G41" s="32" t="n">
        <f aca="false">F41*DY_MENSAL</f>
        <v>366.658439017287</v>
      </c>
      <c r="H41" s="32" t="n">
        <f aca="false">H40+D41</f>
        <v>44000</v>
      </c>
    </row>
    <row r="42" customFormat="false" ht="15" hidden="false" customHeight="false" outlineLevel="0" collapsed="false">
      <c r="A42" s="33" t="n">
        <v>40</v>
      </c>
      <c r="B42" s="33" t="n">
        <f aca="false">ROUNDUP(A42/12,0)</f>
        <v>4</v>
      </c>
      <c r="C42" s="34" t="n">
        <f aca="false">F41</f>
        <v>52379.7770024696</v>
      </c>
      <c r="D42" s="34" t="n">
        <f aca="false">APORTE</f>
        <v>1000</v>
      </c>
      <c r="E42" s="34" t="n">
        <f aca="false">C42*TAXA_MENSAL</f>
        <v>419.038216019757</v>
      </c>
      <c r="F42" s="34" t="n">
        <f aca="false">C42+D42+E42</f>
        <v>53798.8152184893</v>
      </c>
      <c r="G42" s="34" t="n">
        <f aca="false">F42*DY_MENSAL</f>
        <v>376.591706529425</v>
      </c>
      <c r="H42" s="34" t="n">
        <f aca="false">H41+D42</f>
        <v>45000</v>
      </c>
    </row>
    <row r="43" customFormat="false" ht="15" hidden="false" customHeight="false" outlineLevel="0" collapsed="false">
      <c r="A43" s="31" t="n">
        <v>41</v>
      </c>
      <c r="B43" s="31" t="n">
        <f aca="false">ROUNDUP(A43/12,0)</f>
        <v>4</v>
      </c>
      <c r="C43" s="32" t="n">
        <f aca="false">F42</f>
        <v>53798.8152184893</v>
      </c>
      <c r="D43" s="32" t="n">
        <f aca="false">APORTE</f>
        <v>1000</v>
      </c>
      <c r="E43" s="32" t="n">
        <f aca="false">C43*TAXA_MENSAL</f>
        <v>430.390521747915</v>
      </c>
      <c r="F43" s="32" t="n">
        <f aca="false">C43+D43+E43</f>
        <v>55229.2057402372</v>
      </c>
      <c r="G43" s="32" t="n">
        <f aca="false">F43*DY_MENSAL</f>
        <v>386.604440181661</v>
      </c>
      <c r="H43" s="32" t="n">
        <f aca="false">H42+D43</f>
        <v>46000</v>
      </c>
    </row>
    <row r="44" customFormat="false" ht="15" hidden="false" customHeight="false" outlineLevel="0" collapsed="false">
      <c r="A44" s="33" t="n">
        <v>42</v>
      </c>
      <c r="B44" s="33" t="n">
        <f aca="false">ROUNDUP(A44/12,0)</f>
        <v>4</v>
      </c>
      <c r="C44" s="34" t="n">
        <f aca="false">F43</f>
        <v>55229.2057402372</v>
      </c>
      <c r="D44" s="34" t="n">
        <f aca="false">APORTE</f>
        <v>1000</v>
      </c>
      <c r="E44" s="34" t="n">
        <f aca="false">C44*TAXA_MENSAL</f>
        <v>441.833645921898</v>
      </c>
      <c r="F44" s="34" t="n">
        <f aca="false">C44+D44+E44</f>
        <v>56671.0393861591</v>
      </c>
      <c r="G44" s="34" t="n">
        <f aca="false">F44*DY_MENSAL</f>
        <v>396.697275703114</v>
      </c>
      <c r="H44" s="34" t="n">
        <f aca="false">H43+D44</f>
        <v>47000</v>
      </c>
    </row>
    <row r="45" customFormat="false" ht="15" hidden="false" customHeight="false" outlineLevel="0" collapsed="false">
      <c r="A45" s="31" t="n">
        <v>43</v>
      </c>
      <c r="B45" s="31" t="n">
        <f aca="false">ROUNDUP(A45/12,0)</f>
        <v>4</v>
      </c>
      <c r="C45" s="32" t="n">
        <f aca="false">F44</f>
        <v>56671.0393861591</v>
      </c>
      <c r="D45" s="32" t="n">
        <f aca="false">APORTE</f>
        <v>1000</v>
      </c>
      <c r="E45" s="32" t="n">
        <f aca="false">C45*TAXA_MENSAL</f>
        <v>453.368315089273</v>
      </c>
      <c r="F45" s="32" t="n">
        <f aca="false">C45+D45+E45</f>
        <v>58124.4077012484</v>
      </c>
      <c r="G45" s="32" t="n">
        <f aca="false">F45*DY_MENSAL</f>
        <v>406.870853908739</v>
      </c>
      <c r="H45" s="32" t="n">
        <f aca="false">H44+D45</f>
        <v>48000</v>
      </c>
    </row>
    <row r="46" customFormat="false" ht="15" hidden="false" customHeight="false" outlineLevel="0" collapsed="false">
      <c r="A46" s="33" t="n">
        <v>44</v>
      </c>
      <c r="B46" s="33" t="n">
        <f aca="false">ROUNDUP(A46/12,0)</f>
        <v>4</v>
      </c>
      <c r="C46" s="34" t="n">
        <f aca="false">F45</f>
        <v>58124.4077012484</v>
      </c>
      <c r="D46" s="34" t="n">
        <f aca="false">APORTE</f>
        <v>1000</v>
      </c>
      <c r="E46" s="34" t="n">
        <f aca="false">C46*TAXA_MENSAL</f>
        <v>464.995261609987</v>
      </c>
      <c r="F46" s="34" t="n">
        <f aca="false">C46+D46+E46</f>
        <v>59589.4029628584</v>
      </c>
      <c r="G46" s="34" t="n">
        <f aca="false">F46*DY_MENSAL</f>
        <v>417.125820740009</v>
      </c>
      <c r="H46" s="34" t="n">
        <f aca="false">H45+D46</f>
        <v>49000</v>
      </c>
    </row>
    <row r="47" customFormat="false" ht="15" hidden="false" customHeight="false" outlineLevel="0" collapsed="false">
      <c r="A47" s="31" t="n">
        <v>45</v>
      </c>
      <c r="B47" s="31" t="n">
        <f aca="false">ROUNDUP(A47/12,0)</f>
        <v>4</v>
      </c>
      <c r="C47" s="32" t="n">
        <f aca="false">F46</f>
        <v>59589.4029628584</v>
      </c>
      <c r="D47" s="32" t="n">
        <f aca="false">APORTE</f>
        <v>1000</v>
      </c>
      <c r="E47" s="32" t="n">
        <f aca="false">C47*TAXA_MENSAL</f>
        <v>476.715223702867</v>
      </c>
      <c r="F47" s="32" t="n">
        <f aca="false">C47+D47+E47</f>
        <v>61066.1181865613</v>
      </c>
      <c r="G47" s="32" t="n">
        <f aca="false">F47*DY_MENSAL</f>
        <v>427.462827305929</v>
      </c>
      <c r="H47" s="32" t="n">
        <f aca="false">H46+D47</f>
        <v>50000</v>
      </c>
    </row>
    <row r="48" customFormat="false" ht="15" hidden="false" customHeight="false" outlineLevel="0" collapsed="false">
      <c r="A48" s="33" t="n">
        <v>46</v>
      </c>
      <c r="B48" s="33" t="n">
        <f aca="false">ROUNDUP(A48/12,0)</f>
        <v>4</v>
      </c>
      <c r="C48" s="34" t="n">
        <f aca="false">F47</f>
        <v>61066.1181865613</v>
      </c>
      <c r="D48" s="34" t="n">
        <f aca="false">APORTE</f>
        <v>1000</v>
      </c>
      <c r="E48" s="34" t="n">
        <f aca="false">C48*TAXA_MENSAL</f>
        <v>488.52894549249</v>
      </c>
      <c r="F48" s="34" t="n">
        <f aca="false">C48+D48+E48</f>
        <v>62554.6471320538</v>
      </c>
      <c r="G48" s="34" t="n">
        <f aca="false">F48*DY_MENSAL</f>
        <v>437.882529924376</v>
      </c>
      <c r="H48" s="34" t="n">
        <f aca="false">H47+D48</f>
        <v>51000</v>
      </c>
    </row>
    <row r="49" customFormat="false" ht="15" hidden="false" customHeight="false" outlineLevel="0" collapsed="false">
      <c r="A49" s="31" t="n">
        <v>47</v>
      </c>
      <c r="B49" s="31" t="n">
        <f aca="false">ROUNDUP(A49/12,0)</f>
        <v>4</v>
      </c>
      <c r="C49" s="32" t="n">
        <f aca="false">F48</f>
        <v>62554.6471320538</v>
      </c>
      <c r="D49" s="32" t="n">
        <f aca="false">APORTE</f>
        <v>1000</v>
      </c>
      <c r="E49" s="32" t="n">
        <f aca="false">C49*TAXA_MENSAL</f>
        <v>500.43717705643</v>
      </c>
      <c r="F49" s="32" t="n">
        <f aca="false">C49+D49+E49</f>
        <v>64055.0843091102</v>
      </c>
      <c r="G49" s="32" t="n">
        <f aca="false">F49*DY_MENSAL</f>
        <v>448.385590163771</v>
      </c>
      <c r="H49" s="32" t="n">
        <f aca="false">H48+D49</f>
        <v>52000</v>
      </c>
    </row>
    <row r="50" customFormat="false" ht="15" hidden="false" customHeight="false" outlineLevel="0" collapsed="false">
      <c r="A50" s="33" t="n">
        <v>48</v>
      </c>
      <c r="B50" s="33" t="n">
        <f aca="false">ROUNDUP(A50/12,0)</f>
        <v>4</v>
      </c>
      <c r="C50" s="34" t="n">
        <f aca="false">F49</f>
        <v>64055.0843091102</v>
      </c>
      <c r="D50" s="34" t="n">
        <f aca="false">APORTE</f>
        <v>1000</v>
      </c>
      <c r="E50" s="34" t="n">
        <f aca="false">C50*TAXA_MENSAL</f>
        <v>512.440674472882</v>
      </c>
      <c r="F50" s="34" t="n">
        <f aca="false">C50+D50+E50</f>
        <v>65567.5249835831</v>
      </c>
      <c r="G50" s="34" t="n">
        <f aca="false">F50*DY_MENSAL</f>
        <v>458.972674885082</v>
      </c>
      <c r="H50" s="34" t="n">
        <f aca="false">H49+D50</f>
        <v>53000</v>
      </c>
    </row>
    <row r="51" customFormat="false" ht="15" hidden="false" customHeight="false" outlineLevel="0" collapsed="false">
      <c r="A51" s="31" t="n">
        <v>49</v>
      </c>
      <c r="B51" s="31" t="n">
        <f aca="false">ROUNDUP(A51/12,0)</f>
        <v>5</v>
      </c>
      <c r="C51" s="32" t="n">
        <f aca="false">F50</f>
        <v>65567.5249835831</v>
      </c>
      <c r="D51" s="32" t="n">
        <f aca="false">APORTE</f>
        <v>1000</v>
      </c>
      <c r="E51" s="32" t="n">
        <f aca="false">C51*TAXA_MENSAL</f>
        <v>524.540199868665</v>
      </c>
      <c r="F51" s="32" t="n">
        <f aca="false">C51+D51+E51</f>
        <v>67092.0651834517</v>
      </c>
      <c r="G51" s="32" t="n">
        <f aca="false">F51*DY_MENSAL</f>
        <v>469.644456284162</v>
      </c>
      <c r="H51" s="32" t="n">
        <f aca="false">H50+D51</f>
        <v>54000</v>
      </c>
    </row>
    <row r="52" customFormat="false" ht="15" hidden="false" customHeight="false" outlineLevel="0" collapsed="false">
      <c r="A52" s="33" t="n">
        <v>50</v>
      </c>
      <c r="B52" s="33" t="n">
        <f aca="false">ROUNDUP(A52/12,0)</f>
        <v>5</v>
      </c>
      <c r="C52" s="34" t="n">
        <f aca="false">F51</f>
        <v>67092.0651834517</v>
      </c>
      <c r="D52" s="34" t="n">
        <f aca="false">APORTE</f>
        <v>1000</v>
      </c>
      <c r="E52" s="34" t="n">
        <f aca="false">C52*TAXA_MENSAL</f>
        <v>536.736521467614</v>
      </c>
      <c r="F52" s="34" t="n">
        <f aca="false">C52+D52+E52</f>
        <v>68628.8017049193</v>
      </c>
      <c r="G52" s="34" t="n">
        <f aca="false">F52*DY_MENSAL</f>
        <v>480.401611934435</v>
      </c>
      <c r="H52" s="34" t="n">
        <f aca="false">H51+D52</f>
        <v>55000</v>
      </c>
    </row>
    <row r="53" customFormat="false" ht="15" hidden="false" customHeight="false" outlineLevel="0" collapsed="false">
      <c r="A53" s="31" t="n">
        <v>51</v>
      </c>
      <c r="B53" s="31" t="n">
        <f aca="false">ROUNDUP(A53/12,0)</f>
        <v>5</v>
      </c>
      <c r="C53" s="32" t="n">
        <f aca="false">F52</f>
        <v>68628.8017049193</v>
      </c>
      <c r="D53" s="32" t="n">
        <f aca="false">APORTE</f>
        <v>1000</v>
      </c>
      <c r="E53" s="32" t="n">
        <f aca="false">C53*TAXA_MENSAL</f>
        <v>549.030413639355</v>
      </c>
      <c r="F53" s="32" t="n">
        <f aca="false">C53+D53+E53</f>
        <v>70177.8321185587</v>
      </c>
      <c r="G53" s="32" t="n">
        <f aca="false">F53*DY_MENSAL</f>
        <v>491.244824829911</v>
      </c>
      <c r="H53" s="32" t="n">
        <f aca="false">H52+D53</f>
        <v>56000</v>
      </c>
    </row>
    <row r="54" customFormat="false" ht="15" hidden="false" customHeight="false" outlineLevel="0" collapsed="false">
      <c r="A54" s="33" t="n">
        <v>52</v>
      </c>
      <c r="B54" s="33" t="n">
        <f aca="false">ROUNDUP(A54/12,0)</f>
        <v>5</v>
      </c>
      <c r="C54" s="34" t="n">
        <f aca="false">F53</f>
        <v>70177.8321185587</v>
      </c>
      <c r="D54" s="34" t="n">
        <f aca="false">APORTE</f>
        <v>1000</v>
      </c>
      <c r="E54" s="34" t="n">
        <f aca="false">C54*TAXA_MENSAL</f>
        <v>561.42265694847</v>
      </c>
      <c r="F54" s="34" t="n">
        <f aca="false">C54+D54+E54</f>
        <v>71739.2547755072</v>
      </c>
      <c r="G54" s="34" t="n">
        <f aca="false">F54*DY_MENSAL</f>
        <v>502.17478342855</v>
      </c>
      <c r="H54" s="34" t="n">
        <f aca="false">H53+D54</f>
        <v>57000</v>
      </c>
    </row>
    <row r="55" customFormat="false" ht="15" hidden="false" customHeight="false" outlineLevel="0" collapsed="false">
      <c r="A55" s="31" t="n">
        <v>53</v>
      </c>
      <c r="B55" s="31" t="n">
        <f aca="false">ROUNDUP(A55/12,0)</f>
        <v>5</v>
      </c>
      <c r="C55" s="32" t="n">
        <f aca="false">F54</f>
        <v>71739.2547755072</v>
      </c>
      <c r="D55" s="32" t="n">
        <f aca="false">APORTE</f>
        <v>1000</v>
      </c>
      <c r="E55" s="32" t="n">
        <f aca="false">C55*TAXA_MENSAL</f>
        <v>573.914038204057</v>
      </c>
      <c r="F55" s="32" t="n">
        <f aca="false">C55+D55+E55</f>
        <v>73313.1688137112</v>
      </c>
      <c r="G55" s="32" t="n">
        <f aca="false">F55*DY_MENSAL</f>
        <v>513.192181695979</v>
      </c>
      <c r="H55" s="32" t="n">
        <f aca="false">H54+D55</f>
        <v>58000</v>
      </c>
    </row>
    <row r="56" customFormat="false" ht="15" hidden="false" customHeight="false" outlineLevel="0" collapsed="false">
      <c r="A56" s="33" t="n">
        <v>54</v>
      </c>
      <c r="B56" s="33" t="n">
        <f aca="false">ROUNDUP(A56/12,0)</f>
        <v>5</v>
      </c>
      <c r="C56" s="34" t="n">
        <f aca="false">F55</f>
        <v>73313.1688137112</v>
      </c>
      <c r="D56" s="34" t="n">
        <f aca="false">APORTE</f>
        <v>1000</v>
      </c>
      <c r="E56" s="34" t="n">
        <f aca="false">C56*TAXA_MENSAL</f>
        <v>586.50535050969</v>
      </c>
      <c r="F56" s="34" t="n">
        <f aca="false">C56+D56+E56</f>
        <v>74899.6741642209</v>
      </c>
      <c r="G56" s="34" t="n">
        <f aca="false">F56*DY_MENSAL</f>
        <v>524.297719149546</v>
      </c>
      <c r="H56" s="34" t="n">
        <f aca="false">H55+D56</f>
        <v>59000</v>
      </c>
    </row>
    <row r="57" customFormat="false" ht="15" hidden="false" customHeight="false" outlineLevel="0" collapsed="false">
      <c r="A57" s="31" t="n">
        <v>55</v>
      </c>
      <c r="B57" s="31" t="n">
        <f aca="false">ROUNDUP(A57/12,0)</f>
        <v>5</v>
      </c>
      <c r="C57" s="32" t="n">
        <f aca="false">F56</f>
        <v>74899.6741642209</v>
      </c>
      <c r="D57" s="32" t="n">
        <f aca="false">APORTE</f>
        <v>1000</v>
      </c>
      <c r="E57" s="32" t="n">
        <f aca="false">C57*TAXA_MENSAL</f>
        <v>599.197393313767</v>
      </c>
      <c r="F57" s="32" t="n">
        <f aca="false">C57+D57+E57</f>
        <v>76498.8715575347</v>
      </c>
      <c r="G57" s="32" t="n">
        <f aca="false">F57*DY_MENSAL</f>
        <v>535.492100902743</v>
      </c>
      <c r="H57" s="32" t="n">
        <f aca="false">H56+D57</f>
        <v>60000</v>
      </c>
    </row>
    <row r="58" customFormat="false" ht="15" hidden="false" customHeight="false" outlineLevel="0" collapsed="false">
      <c r="A58" s="33" t="n">
        <v>56</v>
      </c>
      <c r="B58" s="33" t="n">
        <f aca="false">ROUNDUP(A58/12,0)</f>
        <v>5</v>
      </c>
      <c r="C58" s="34" t="n">
        <f aca="false">F57</f>
        <v>76498.8715575347</v>
      </c>
      <c r="D58" s="34" t="n">
        <f aca="false">APORTE</f>
        <v>1000</v>
      </c>
      <c r="E58" s="34" t="n">
        <f aca="false">C58*TAXA_MENSAL</f>
        <v>611.990972460278</v>
      </c>
      <c r="F58" s="34" t="n">
        <f aca="false">C58+D58+E58</f>
        <v>78110.862529995</v>
      </c>
      <c r="G58" s="34" t="n">
        <f aca="false">F58*DY_MENSAL</f>
        <v>546.776037709965</v>
      </c>
      <c r="H58" s="34" t="n">
        <f aca="false">H57+D58</f>
        <v>61000</v>
      </c>
    </row>
    <row r="59" customFormat="false" ht="15" hidden="false" customHeight="false" outlineLevel="0" collapsed="false">
      <c r="A59" s="31" t="n">
        <v>57</v>
      </c>
      <c r="B59" s="31" t="n">
        <f aca="false">ROUNDUP(A59/12,0)</f>
        <v>5</v>
      </c>
      <c r="C59" s="32" t="n">
        <f aca="false">F58</f>
        <v>78110.862529995</v>
      </c>
      <c r="D59" s="32" t="n">
        <f aca="false">APORTE</f>
        <v>1000</v>
      </c>
      <c r="E59" s="32" t="n">
        <f aca="false">C59*TAXA_MENSAL</f>
        <v>624.88690023996</v>
      </c>
      <c r="F59" s="32" t="n">
        <f aca="false">C59+D59+E59</f>
        <v>79735.7494302349</v>
      </c>
      <c r="G59" s="32" t="n">
        <f aca="false">F59*DY_MENSAL</f>
        <v>558.150246011644</v>
      </c>
      <c r="H59" s="32" t="n">
        <f aca="false">H58+D59</f>
        <v>62000</v>
      </c>
    </row>
    <row r="60" customFormat="false" ht="15" hidden="false" customHeight="false" outlineLevel="0" collapsed="false">
      <c r="A60" s="33" t="n">
        <v>58</v>
      </c>
      <c r="B60" s="33" t="n">
        <f aca="false">ROUNDUP(A60/12,0)</f>
        <v>5</v>
      </c>
      <c r="C60" s="34" t="n">
        <f aca="false">F59</f>
        <v>79735.7494302349</v>
      </c>
      <c r="D60" s="34" t="n">
        <f aca="false">APORTE</f>
        <v>1000</v>
      </c>
      <c r="E60" s="34" t="n">
        <f aca="false">C60*TAXA_MENSAL</f>
        <v>637.885995441879</v>
      </c>
      <c r="F60" s="34" t="n">
        <f aca="false">C60+D60+E60</f>
        <v>81373.6354256768</v>
      </c>
      <c r="G60" s="34" t="n">
        <f aca="false">F60*DY_MENSAL</f>
        <v>569.615447979738</v>
      </c>
      <c r="H60" s="34" t="n">
        <f aca="false">H59+D60</f>
        <v>63000</v>
      </c>
    </row>
    <row r="61" customFormat="false" ht="15" hidden="false" customHeight="false" outlineLevel="0" collapsed="false">
      <c r="A61" s="31" t="n">
        <v>59</v>
      </c>
      <c r="B61" s="31" t="n">
        <f aca="false">ROUNDUP(A61/12,0)</f>
        <v>5</v>
      </c>
      <c r="C61" s="32" t="n">
        <f aca="false">F60</f>
        <v>81373.6354256768</v>
      </c>
      <c r="D61" s="32" t="n">
        <f aca="false">APORTE</f>
        <v>1000</v>
      </c>
      <c r="E61" s="32" t="n">
        <f aca="false">C61*TAXA_MENSAL</f>
        <v>650.989083405414</v>
      </c>
      <c r="F61" s="32" t="n">
        <f aca="false">C61+D61+E61</f>
        <v>83024.6245090822</v>
      </c>
      <c r="G61" s="32" t="n">
        <f aca="false">F61*DY_MENSAL</f>
        <v>581.172371563575</v>
      </c>
      <c r="H61" s="32" t="n">
        <f aca="false">H60+D61</f>
        <v>64000</v>
      </c>
    </row>
    <row r="62" customFormat="false" ht="15" hidden="false" customHeight="false" outlineLevel="0" collapsed="false">
      <c r="A62" s="33" t="n">
        <v>60</v>
      </c>
      <c r="B62" s="33" t="n">
        <f aca="false">ROUNDUP(A62/12,0)</f>
        <v>5</v>
      </c>
      <c r="C62" s="34" t="n">
        <f aca="false">F61</f>
        <v>83024.6245090822</v>
      </c>
      <c r="D62" s="34" t="n">
        <f aca="false">APORTE</f>
        <v>1000</v>
      </c>
      <c r="E62" s="34" t="n">
        <f aca="false">C62*TAXA_MENSAL</f>
        <v>664.196996072658</v>
      </c>
      <c r="F62" s="34" t="n">
        <f aca="false">C62+D62+E62</f>
        <v>84688.8215051549</v>
      </c>
      <c r="G62" s="34" t="n">
        <f aca="false">F62*DY_MENSAL</f>
        <v>592.821750536084</v>
      </c>
      <c r="H62" s="34" t="n">
        <f aca="false">H61+D62</f>
        <v>65000</v>
      </c>
    </row>
    <row r="63" customFormat="false" ht="15" hidden="false" customHeight="false" outlineLevel="0" collapsed="false">
      <c r="A63" s="31" t="n">
        <v>61</v>
      </c>
      <c r="B63" s="31" t="n">
        <f aca="false">ROUNDUP(A63/12,0)</f>
        <v>6</v>
      </c>
      <c r="C63" s="32" t="n">
        <f aca="false">F62</f>
        <v>84688.8215051549</v>
      </c>
      <c r="D63" s="32" t="n">
        <f aca="false">APORTE</f>
        <v>1000</v>
      </c>
      <c r="E63" s="32" t="n">
        <f aca="false">C63*TAXA_MENSAL</f>
        <v>677.510572041239</v>
      </c>
      <c r="F63" s="32" t="n">
        <f aca="false">C63+D63+E63</f>
        <v>86366.3320771961</v>
      </c>
      <c r="G63" s="32" t="n">
        <f aca="false">F63*DY_MENSAL</f>
        <v>604.564324540373</v>
      </c>
      <c r="H63" s="32" t="n">
        <f aca="false">H62+D63</f>
        <v>66000</v>
      </c>
    </row>
    <row r="64" customFormat="false" ht="15" hidden="false" customHeight="false" outlineLevel="0" collapsed="false">
      <c r="A64" s="33" t="n">
        <v>62</v>
      </c>
      <c r="B64" s="33" t="n">
        <f aca="false">ROUNDUP(A64/12,0)</f>
        <v>6</v>
      </c>
      <c r="C64" s="34" t="n">
        <f aca="false">F63</f>
        <v>86366.3320771961</v>
      </c>
      <c r="D64" s="34" t="n">
        <f aca="false">APORTE</f>
        <v>1000</v>
      </c>
      <c r="E64" s="34" t="n">
        <f aca="false">C64*TAXA_MENSAL</f>
        <v>690.930656617569</v>
      </c>
      <c r="F64" s="34" t="n">
        <f aca="false">C64+D64+E64</f>
        <v>88057.2627338137</v>
      </c>
      <c r="G64" s="34" t="n">
        <f aca="false">F64*DY_MENSAL</f>
        <v>616.400839136696</v>
      </c>
      <c r="H64" s="34" t="n">
        <f aca="false">H63+D64</f>
        <v>67000</v>
      </c>
    </row>
    <row r="65" customFormat="false" ht="15" hidden="false" customHeight="false" outlineLevel="0" collapsed="false">
      <c r="A65" s="31" t="n">
        <v>63</v>
      </c>
      <c r="B65" s="31" t="n">
        <f aca="false">ROUNDUP(A65/12,0)</f>
        <v>6</v>
      </c>
      <c r="C65" s="32" t="n">
        <f aca="false">F64</f>
        <v>88057.2627338137</v>
      </c>
      <c r="D65" s="32" t="n">
        <f aca="false">APORTE</f>
        <v>1000</v>
      </c>
      <c r="E65" s="32" t="n">
        <f aca="false">C65*TAXA_MENSAL</f>
        <v>704.458101870509</v>
      </c>
      <c r="F65" s="32" t="n">
        <f aca="false">C65+D65+E65</f>
        <v>89761.7208356842</v>
      </c>
      <c r="G65" s="32" t="n">
        <f aca="false">F65*DY_MENSAL</f>
        <v>628.332045849789</v>
      </c>
      <c r="H65" s="32" t="n">
        <f aca="false">H64+D65</f>
        <v>68000</v>
      </c>
    </row>
    <row r="66" customFormat="false" ht="15" hidden="false" customHeight="false" outlineLevel="0" collapsed="false">
      <c r="A66" s="33" t="n">
        <v>64</v>
      </c>
      <c r="B66" s="33" t="n">
        <f aca="false">ROUNDUP(A66/12,0)</f>
        <v>6</v>
      </c>
      <c r="C66" s="34" t="n">
        <f aca="false">F65</f>
        <v>89761.7208356842</v>
      </c>
      <c r="D66" s="34" t="n">
        <f aca="false">APORTE</f>
        <v>1000</v>
      </c>
      <c r="E66" s="34" t="n">
        <f aca="false">C66*TAXA_MENSAL</f>
        <v>718.093766685473</v>
      </c>
      <c r="F66" s="34" t="n">
        <f aca="false">C66+D66+E66</f>
        <v>91479.8146023697</v>
      </c>
      <c r="G66" s="34" t="n">
        <f aca="false">F66*DY_MENSAL</f>
        <v>640.358702216588</v>
      </c>
      <c r="H66" s="34" t="n">
        <f aca="false">H65+D66</f>
        <v>69000</v>
      </c>
    </row>
    <row r="67" customFormat="false" ht="15" hidden="false" customHeight="false" outlineLevel="0" collapsed="false">
      <c r="A67" s="31" t="n">
        <v>65</v>
      </c>
      <c r="B67" s="31" t="n">
        <f aca="false">ROUNDUP(A67/12,0)</f>
        <v>6</v>
      </c>
      <c r="C67" s="32" t="n">
        <f aca="false">F66</f>
        <v>91479.8146023697</v>
      </c>
      <c r="D67" s="32" t="n">
        <f aca="false">APORTE</f>
        <v>1000</v>
      </c>
      <c r="E67" s="32" t="n">
        <f aca="false">C67*TAXA_MENSAL</f>
        <v>731.838516818957</v>
      </c>
      <c r="F67" s="32" t="n">
        <f aca="false">C67+D67+E67</f>
        <v>93211.6531191886</v>
      </c>
      <c r="G67" s="32" t="n">
        <f aca="false">F67*DY_MENSAL</f>
        <v>652.48157183432</v>
      </c>
      <c r="H67" s="32" t="n">
        <f aca="false">H66+D67</f>
        <v>70000</v>
      </c>
    </row>
    <row r="68" customFormat="false" ht="15" hidden="false" customHeight="false" outlineLevel="0" collapsed="false">
      <c r="A68" s="33" t="n">
        <v>66</v>
      </c>
      <c r="B68" s="33" t="n">
        <f aca="false">ROUNDUP(A68/12,0)</f>
        <v>6</v>
      </c>
      <c r="C68" s="34" t="n">
        <f aca="false">F67</f>
        <v>93211.6531191886</v>
      </c>
      <c r="D68" s="34" t="n">
        <f aca="false">APORTE</f>
        <v>1000</v>
      </c>
      <c r="E68" s="34" t="n">
        <f aca="false">C68*TAXA_MENSAL</f>
        <v>745.693224953509</v>
      </c>
      <c r="F68" s="34" t="n">
        <f aca="false">C68+D68+E68</f>
        <v>94957.3463441421</v>
      </c>
      <c r="G68" s="34" t="n">
        <f aca="false">F68*DY_MENSAL</f>
        <v>664.701424408995</v>
      </c>
      <c r="H68" s="34" t="n">
        <f aca="false">H67+D68</f>
        <v>71000</v>
      </c>
    </row>
    <row r="69" customFormat="false" ht="15" hidden="false" customHeight="false" outlineLevel="0" collapsed="false">
      <c r="A69" s="31" t="n">
        <v>67</v>
      </c>
      <c r="B69" s="31" t="n">
        <f aca="false">ROUNDUP(A69/12,0)</f>
        <v>6</v>
      </c>
      <c r="C69" s="32" t="n">
        <f aca="false">F68</f>
        <v>94957.3463441421</v>
      </c>
      <c r="D69" s="32" t="n">
        <f aca="false">APORTE</f>
        <v>1000</v>
      </c>
      <c r="E69" s="32" t="n">
        <f aca="false">C69*TAXA_MENSAL</f>
        <v>759.658770753137</v>
      </c>
      <c r="F69" s="32" t="n">
        <f aca="false">C69+D69+E69</f>
        <v>96717.0051148953</v>
      </c>
      <c r="G69" s="32" t="n">
        <f aca="false">F69*DY_MENSAL</f>
        <v>677.019035804267</v>
      </c>
      <c r="H69" s="32" t="n">
        <f aca="false">H68+D69</f>
        <v>72000</v>
      </c>
    </row>
    <row r="70" customFormat="false" ht="15" hidden="false" customHeight="false" outlineLevel="0" collapsed="false">
      <c r="A70" s="33" t="n">
        <v>68</v>
      </c>
      <c r="B70" s="33" t="n">
        <f aca="false">ROUNDUP(A70/12,0)</f>
        <v>6</v>
      </c>
      <c r="C70" s="34" t="n">
        <f aca="false">F69</f>
        <v>96717.0051148953</v>
      </c>
      <c r="D70" s="34" t="n">
        <f aca="false">APORTE</f>
        <v>1000</v>
      </c>
      <c r="E70" s="34" t="n">
        <f aca="false">C70*TAXA_MENSAL</f>
        <v>773.736040919162</v>
      </c>
      <c r="F70" s="34" t="n">
        <f aca="false">C70+D70+E70</f>
        <v>98490.7411558144</v>
      </c>
      <c r="G70" s="34" t="n">
        <f aca="false">F70*DY_MENSAL</f>
        <v>689.435188090701</v>
      </c>
      <c r="H70" s="34" t="n">
        <f aca="false">H69+D70</f>
        <v>73000</v>
      </c>
    </row>
    <row r="71" customFormat="false" ht="15" hidden="false" customHeight="false" outlineLevel="0" collapsed="false">
      <c r="A71" s="31" t="n">
        <v>69</v>
      </c>
      <c r="B71" s="31" t="n">
        <f aca="false">ROUNDUP(A71/12,0)</f>
        <v>6</v>
      </c>
      <c r="C71" s="32" t="n">
        <f aca="false">F70</f>
        <v>98490.7411558144</v>
      </c>
      <c r="D71" s="32" t="n">
        <f aca="false">APORTE</f>
        <v>1000</v>
      </c>
      <c r="E71" s="32" t="n">
        <f aca="false">C71*TAXA_MENSAL</f>
        <v>787.925929246515</v>
      </c>
      <c r="F71" s="32" t="n">
        <f aca="false">C71+D71+E71</f>
        <v>100278.667085061</v>
      </c>
      <c r="G71" s="32" t="n">
        <f aca="false">F71*DY_MENSAL</f>
        <v>701.950669595427</v>
      </c>
      <c r="H71" s="32" t="n">
        <f aca="false">H70+D71</f>
        <v>74000</v>
      </c>
    </row>
    <row r="72" customFormat="false" ht="15" hidden="false" customHeight="false" outlineLevel="0" collapsed="false">
      <c r="A72" s="33" t="n">
        <v>70</v>
      </c>
      <c r="B72" s="33" t="n">
        <f aca="false">ROUNDUP(A72/12,0)</f>
        <v>6</v>
      </c>
      <c r="C72" s="34" t="n">
        <f aca="false">F71</f>
        <v>100278.667085061</v>
      </c>
      <c r="D72" s="34" t="n">
        <f aca="false">APORTE</f>
        <v>1000</v>
      </c>
      <c r="E72" s="34" t="n">
        <f aca="false">C72*TAXA_MENSAL</f>
        <v>802.229336680487</v>
      </c>
      <c r="F72" s="34" t="n">
        <f aca="false">C72+D72+E72</f>
        <v>102080.896421741</v>
      </c>
      <c r="G72" s="34" t="n">
        <f aca="false">F72*DY_MENSAL</f>
        <v>714.56627495219</v>
      </c>
      <c r="H72" s="34" t="n">
        <f aca="false">H71+D72</f>
        <v>75000</v>
      </c>
    </row>
    <row r="73" customFormat="false" ht="15" hidden="false" customHeight="false" outlineLevel="0" collapsed="false">
      <c r="A73" s="31" t="n">
        <v>71</v>
      </c>
      <c r="B73" s="31" t="n">
        <f aca="false">ROUNDUP(A73/12,0)</f>
        <v>6</v>
      </c>
      <c r="C73" s="32" t="n">
        <f aca="false">F72</f>
        <v>102080.896421741</v>
      </c>
      <c r="D73" s="32" t="n">
        <f aca="false">APORTE</f>
        <v>1000</v>
      </c>
      <c r="E73" s="32" t="n">
        <f aca="false">C73*TAXA_MENSAL</f>
        <v>816.647171373931</v>
      </c>
      <c r="F73" s="32" t="n">
        <f aca="false">C73+D73+E73</f>
        <v>103897.543593115</v>
      </c>
      <c r="G73" s="32" t="n">
        <f aca="false">F73*DY_MENSAL</f>
        <v>727.282805151807</v>
      </c>
      <c r="H73" s="32" t="n">
        <f aca="false">H72+D73</f>
        <v>76000</v>
      </c>
    </row>
    <row r="74" customFormat="false" ht="15" hidden="false" customHeight="false" outlineLevel="0" collapsed="false">
      <c r="A74" s="33" t="n">
        <v>72</v>
      </c>
      <c r="B74" s="33" t="n">
        <f aca="false">ROUNDUP(A74/12,0)</f>
        <v>6</v>
      </c>
      <c r="C74" s="34" t="n">
        <f aca="false">F73</f>
        <v>103897.543593115</v>
      </c>
      <c r="D74" s="34" t="n">
        <f aca="false">APORTE</f>
        <v>1000</v>
      </c>
      <c r="E74" s="34" t="n">
        <f aca="false">C74*TAXA_MENSAL</f>
        <v>831.180348744923</v>
      </c>
      <c r="F74" s="34" t="n">
        <f aca="false">C74+D74+E74</f>
        <v>105728.72394186</v>
      </c>
      <c r="G74" s="34" t="n">
        <f aca="false">F74*DY_MENSAL</f>
        <v>740.101067593022</v>
      </c>
      <c r="H74" s="34" t="n">
        <f aca="false">H73+D74</f>
        <v>77000</v>
      </c>
    </row>
    <row r="75" customFormat="false" ht="15" hidden="false" customHeight="false" outlineLevel="0" collapsed="false">
      <c r="A75" s="31" t="n">
        <v>73</v>
      </c>
      <c r="B75" s="31" t="n">
        <f aca="false">ROUNDUP(A75/12,0)</f>
        <v>7</v>
      </c>
      <c r="C75" s="32" t="n">
        <f aca="false">F74</f>
        <v>105728.72394186</v>
      </c>
      <c r="D75" s="32" t="n">
        <f aca="false">APORTE</f>
        <v>1000</v>
      </c>
      <c r="E75" s="32" t="n">
        <f aca="false">C75*TAXA_MENSAL</f>
        <v>845.829791534882</v>
      </c>
      <c r="F75" s="32" t="n">
        <f aca="false">C75+D75+E75</f>
        <v>107574.553733395</v>
      </c>
      <c r="G75" s="32" t="n">
        <f aca="false">F75*DY_MENSAL</f>
        <v>753.021876133766</v>
      </c>
      <c r="H75" s="32" t="n">
        <f aca="false">H74+D75</f>
        <v>78000</v>
      </c>
    </row>
    <row r="76" customFormat="false" ht="15" hidden="false" customHeight="false" outlineLevel="0" collapsed="false">
      <c r="A76" s="33" t="n">
        <v>74</v>
      </c>
      <c r="B76" s="33" t="n">
        <f aca="false">ROUNDUP(A76/12,0)</f>
        <v>7</v>
      </c>
      <c r="C76" s="34" t="n">
        <f aca="false">F75</f>
        <v>107574.553733395</v>
      </c>
      <c r="D76" s="34" t="n">
        <f aca="false">APORTE</f>
        <v>1000</v>
      </c>
      <c r="E76" s="34" t="n">
        <f aca="false">C76*TAXA_MENSAL</f>
        <v>860.596429867161</v>
      </c>
      <c r="F76" s="34" t="n">
        <f aca="false">C76+D76+E76</f>
        <v>109435.150163262</v>
      </c>
      <c r="G76" s="34" t="n">
        <f aca="false">F76*DY_MENSAL</f>
        <v>766.046051142836</v>
      </c>
      <c r="H76" s="34" t="n">
        <f aca="false">H75+D76</f>
        <v>79000</v>
      </c>
    </row>
    <row r="77" customFormat="false" ht="15" hidden="false" customHeight="false" outlineLevel="0" collapsed="false">
      <c r="A77" s="31" t="n">
        <v>75</v>
      </c>
      <c r="B77" s="31" t="n">
        <f aca="false">ROUNDUP(A77/12,0)</f>
        <v>7</v>
      </c>
      <c r="C77" s="32" t="n">
        <f aca="false">F76</f>
        <v>109435.150163262</v>
      </c>
      <c r="D77" s="32" t="n">
        <f aca="false">APORTE</f>
        <v>1000</v>
      </c>
      <c r="E77" s="32" t="n">
        <f aca="false">C77*TAXA_MENSAL</f>
        <v>875.481201306098</v>
      </c>
      <c r="F77" s="32" t="n">
        <f aca="false">C77+D77+E77</f>
        <v>111310.631364568</v>
      </c>
      <c r="G77" s="32" t="n">
        <f aca="false">F77*DY_MENSAL</f>
        <v>779.174419551979</v>
      </c>
      <c r="H77" s="32" t="n">
        <f aca="false">H76+D77</f>
        <v>80000</v>
      </c>
    </row>
    <row r="78" customFormat="false" ht="15" hidden="false" customHeight="false" outlineLevel="0" collapsed="false">
      <c r="A78" s="33" t="n">
        <v>76</v>
      </c>
      <c r="B78" s="33" t="n">
        <f aca="false">ROUNDUP(A78/12,0)</f>
        <v>7</v>
      </c>
      <c r="C78" s="34" t="n">
        <f aca="false">F77</f>
        <v>111310.631364568</v>
      </c>
      <c r="D78" s="34" t="n">
        <f aca="false">APORTE</f>
        <v>1000</v>
      </c>
      <c r="E78" s="34" t="n">
        <f aca="false">C78*TAXA_MENSAL</f>
        <v>890.485050916547</v>
      </c>
      <c r="F78" s="34" t="n">
        <f aca="false">C78+D78+E78</f>
        <v>113201.116415485</v>
      </c>
      <c r="G78" s="34" t="n">
        <f aca="false">F78*DY_MENSAL</f>
        <v>792.407814908395</v>
      </c>
      <c r="H78" s="34" t="n">
        <f aca="false">H77+D78</f>
        <v>81000</v>
      </c>
    </row>
    <row r="79" customFormat="false" ht="15" hidden="false" customHeight="false" outlineLevel="0" collapsed="false">
      <c r="A79" s="31" t="n">
        <v>77</v>
      </c>
      <c r="B79" s="31" t="n">
        <f aca="false">ROUNDUP(A79/12,0)</f>
        <v>7</v>
      </c>
      <c r="C79" s="32" t="n">
        <f aca="false">F78</f>
        <v>113201.116415485</v>
      </c>
      <c r="D79" s="32" t="n">
        <f aca="false">APORTE</f>
        <v>1000</v>
      </c>
      <c r="E79" s="32" t="n">
        <f aca="false">C79*TAXA_MENSAL</f>
        <v>905.60893132388</v>
      </c>
      <c r="F79" s="32" t="n">
        <f aca="false">C79+D79+E79</f>
        <v>115106.725346809</v>
      </c>
      <c r="G79" s="32" t="n">
        <f aca="false">F79*DY_MENSAL</f>
        <v>805.747077427662</v>
      </c>
      <c r="H79" s="32" t="n">
        <f aca="false">H78+D79</f>
        <v>82000</v>
      </c>
    </row>
    <row r="80" customFormat="false" ht="15" hidden="false" customHeight="false" outlineLevel="0" collapsed="false">
      <c r="A80" s="33" t="n">
        <v>78</v>
      </c>
      <c r="B80" s="33" t="n">
        <f aca="false">ROUNDUP(A80/12,0)</f>
        <v>7</v>
      </c>
      <c r="C80" s="34" t="n">
        <f aca="false">F79</f>
        <v>115106.725346809</v>
      </c>
      <c r="D80" s="34" t="n">
        <f aca="false">APORTE</f>
        <v>1000</v>
      </c>
      <c r="E80" s="34" t="n">
        <f aca="false">C80*TAXA_MENSAL</f>
        <v>920.853802774471</v>
      </c>
      <c r="F80" s="34" t="n">
        <f aca="false">C80+D80+E80</f>
        <v>117027.579149583</v>
      </c>
      <c r="G80" s="34" t="n">
        <f aca="false">F80*DY_MENSAL</f>
        <v>819.193054047083</v>
      </c>
      <c r="H80" s="34" t="n">
        <f aca="false">H79+D80</f>
        <v>83000</v>
      </c>
    </row>
    <row r="81" customFormat="false" ht="15" hidden="false" customHeight="false" outlineLevel="0" collapsed="false">
      <c r="A81" s="31" t="n">
        <v>79</v>
      </c>
      <c r="B81" s="31" t="n">
        <f aca="false">ROUNDUP(A81/12,0)</f>
        <v>7</v>
      </c>
      <c r="C81" s="32" t="n">
        <f aca="false">F80</f>
        <v>117027.579149583</v>
      </c>
      <c r="D81" s="32" t="n">
        <f aca="false">APORTE</f>
        <v>1000</v>
      </c>
      <c r="E81" s="32" t="n">
        <f aca="false">C81*TAXA_MENSAL</f>
        <v>936.220633196666</v>
      </c>
      <c r="F81" s="32" t="n">
        <f aca="false">C81+D81+E81</f>
        <v>118963.79978278</v>
      </c>
      <c r="G81" s="32" t="n">
        <f aca="false">F81*DY_MENSAL</f>
        <v>832.74659847946</v>
      </c>
      <c r="H81" s="32" t="n">
        <f aca="false">H80+D81</f>
        <v>84000</v>
      </c>
    </row>
    <row r="82" customFormat="false" ht="15" hidden="false" customHeight="false" outlineLevel="0" collapsed="false">
      <c r="A82" s="33" t="n">
        <v>80</v>
      </c>
      <c r="B82" s="33" t="n">
        <f aca="false">ROUNDUP(A82/12,0)</f>
        <v>7</v>
      </c>
      <c r="C82" s="34" t="n">
        <f aca="false">F81</f>
        <v>118963.79978278</v>
      </c>
      <c r="D82" s="34" t="n">
        <f aca="false">APORTE</f>
        <v>1000</v>
      </c>
      <c r="E82" s="34" t="n">
        <f aca="false">C82*TAXA_MENSAL</f>
        <v>951.71039826224</v>
      </c>
      <c r="F82" s="34" t="n">
        <f aca="false">C82+D82+E82</f>
        <v>120915.510181042</v>
      </c>
      <c r="G82" s="34" t="n">
        <f aca="false">F82*DY_MENSAL</f>
        <v>846.408571267295</v>
      </c>
      <c r="H82" s="34" t="n">
        <f aca="false">H81+D82</f>
        <v>85000</v>
      </c>
    </row>
    <row r="83" customFormat="false" ht="15" hidden="false" customHeight="false" outlineLevel="0" collapsed="false">
      <c r="A83" s="31" t="n">
        <v>81</v>
      </c>
      <c r="B83" s="31" t="n">
        <f aca="false">ROUNDUP(A83/12,0)</f>
        <v>7</v>
      </c>
      <c r="C83" s="32" t="n">
        <f aca="false">F82</f>
        <v>120915.510181042</v>
      </c>
      <c r="D83" s="32" t="n">
        <f aca="false">APORTE</f>
        <v>1000</v>
      </c>
      <c r="E83" s="32" t="n">
        <f aca="false">C83*TAXA_MENSAL</f>
        <v>967.324081448337</v>
      </c>
      <c r="F83" s="32" t="n">
        <f aca="false">C83+D83+E83</f>
        <v>122882.834262491</v>
      </c>
      <c r="G83" s="32" t="n">
        <f aca="false">F83*DY_MENSAL</f>
        <v>860.179839837434</v>
      </c>
      <c r="H83" s="32" t="n">
        <f aca="false">H82+D83</f>
        <v>86000</v>
      </c>
    </row>
    <row r="84" customFormat="false" ht="15" hidden="false" customHeight="false" outlineLevel="0" collapsed="false">
      <c r="A84" s="33" t="n">
        <v>82</v>
      </c>
      <c r="B84" s="33" t="n">
        <f aca="false">ROUNDUP(A84/12,0)</f>
        <v>7</v>
      </c>
      <c r="C84" s="34" t="n">
        <f aca="false">F83</f>
        <v>122882.834262491</v>
      </c>
      <c r="D84" s="34" t="n">
        <f aca="false">APORTE</f>
        <v>1000</v>
      </c>
      <c r="E84" s="34" t="n">
        <f aca="false">C84*TAXA_MENSAL</f>
        <v>983.062674099924</v>
      </c>
      <c r="F84" s="34" t="n">
        <f aca="false">C84+D84+E84</f>
        <v>124865.89693659</v>
      </c>
      <c r="G84" s="34" t="n">
        <f aca="false">F84*DY_MENSAL</f>
        <v>874.061278556133</v>
      </c>
      <c r="H84" s="34" t="n">
        <f aca="false">H83+D84</f>
        <v>87000</v>
      </c>
    </row>
    <row r="85" customFormat="false" ht="15" hidden="false" customHeight="false" outlineLevel="0" collapsed="false">
      <c r="A85" s="31" t="n">
        <v>83</v>
      </c>
      <c r="B85" s="31" t="n">
        <f aca="false">ROUNDUP(A85/12,0)</f>
        <v>7</v>
      </c>
      <c r="C85" s="32" t="n">
        <f aca="false">F84</f>
        <v>124865.89693659</v>
      </c>
      <c r="D85" s="32" t="n">
        <f aca="false">APORTE</f>
        <v>1000</v>
      </c>
      <c r="E85" s="32" t="n">
        <f aca="false">C85*TAXA_MENSAL</f>
        <v>998.927175492724</v>
      </c>
      <c r="F85" s="32" t="n">
        <f aca="false">C85+D85+E85</f>
        <v>126864.824112083</v>
      </c>
      <c r="G85" s="32" t="n">
        <f aca="false">F85*DY_MENSAL</f>
        <v>888.053768784582</v>
      </c>
      <c r="H85" s="32" t="n">
        <f aca="false">H84+D85</f>
        <v>88000</v>
      </c>
    </row>
    <row r="86" customFormat="false" ht="15" hidden="false" customHeight="false" outlineLevel="0" collapsed="false">
      <c r="A86" s="33" t="n">
        <v>84</v>
      </c>
      <c r="B86" s="33" t="n">
        <f aca="false">ROUNDUP(A86/12,0)</f>
        <v>7</v>
      </c>
      <c r="C86" s="34" t="n">
        <f aca="false">F85</f>
        <v>126864.824112083</v>
      </c>
      <c r="D86" s="34" t="n">
        <f aca="false">APORTE</f>
        <v>1000</v>
      </c>
      <c r="E86" s="34" t="n">
        <f aca="false">C86*TAXA_MENSAL</f>
        <v>1014.91859289667</v>
      </c>
      <c r="F86" s="34" t="n">
        <f aca="false">C86+D86+E86</f>
        <v>128879.74270498</v>
      </c>
      <c r="G86" s="34" t="n">
        <f aca="false">F86*DY_MENSAL</f>
        <v>902.158198934859</v>
      </c>
      <c r="H86" s="34" t="n">
        <f aca="false">H85+D86</f>
        <v>89000</v>
      </c>
    </row>
    <row r="87" customFormat="false" ht="15" hidden="false" customHeight="false" outlineLevel="0" collapsed="false">
      <c r="A87" s="31" t="n">
        <v>85</v>
      </c>
      <c r="B87" s="31" t="n">
        <f aca="false">ROUNDUP(A87/12,0)</f>
        <v>8</v>
      </c>
      <c r="C87" s="32" t="n">
        <f aca="false">F86</f>
        <v>128879.74270498</v>
      </c>
      <c r="D87" s="32" t="n">
        <f aca="false">APORTE</f>
        <v>1000</v>
      </c>
      <c r="E87" s="32" t="n">
        <f aca="false">C87*TAXA_MENSAL</f>
        <v>1031.03794163984</v>
      </c>
      <c r="F87" s="32" t="n">
        <f aca="false">C87+D87+E87</f>
        <v>130910.78064662</v>
      </c>
      <c r="G87" s="32" t="n">
        <f aca="false">F87*DY_MENSAL</f>
        <v>916.375464526338</v>
      </c>
      <c r="H87" s="32" t="n">
        <f aca="false">H86+D87</f>
        <v>90000</v>
      </c>
    </row>
    <row r="88" customFormat="false" ht="15" hidden="false" customHeight="false" outlineLevel="0" collapsed="false">
      <c r="A88" s="33" t="n">
        <v>86</v>
      </c>
      <c r="B88" s="33" t="n">
        <f aca="false">ROUNDUP(A88/12,0)</f>
        <v>8</v>
      </c>
      <c r="C88" s="34" t="n">
        <f aca="false">F87</f>
        <v>130910.78064662</v>
      </c>
      <c r="D88" s="34" t="n">
        <f aca="false">APORTE</f>
        <v>1000</v>
      </c>
      <c r="E88" s="34" t="n">
        <f aca="false">C88*TAXA_MENSAL</f>
        <v>1047.28624517296</v>
      </c>
      <c r="F88" s="34" t="n">
        <f aca="false">C88+D88+E88</f>
        <v>132958.066891793</v>
      </c>
      <c r="G88" s="34" t="n">
        <f aca="false">F88*DY_MENSAL</f>
        <v>930.706468242549</v>
      </c>
      <c r="H88" s="34" t="n">
        <f aca="false">H87+D88</f>
        <v>91000</v>
      </c>
    </row>
    <row r="89" customFormat="false" ht="15" hidden="false" customHeight="false" outlineLevel="0" collapsed="false">
      <c r="A89" s="31" t="n">
        <v>87</v>
      </c>
      <c r="B89" s="31" t="n">
        <f aca="false">ROUNDUP(A89/12,0)</f>
        <v>8</v>
      </c>
      <c r="C89" s="32" t="n">
        <f aca="false">F88</f>
        <v>132958.066891793</v>
      </c>
      <c r="D89" s="32" t="n">
        <f aca="false">APORTE</f>
        <v>1000</v>
      </c>
      <c r="E89" s="32" t="n">
        <f aca="false">C89*TAXA_MENSAL</f>
        <v>1063.66453513434</v>
      </c>
      <c r="F89" s="32" t="n">
        <f aca="false">C89+D89+E89</f>
        <v>135021.731426927</v>
      </c>
      <c r="G89" s="32" t="n">
        <f aca="false">F89*DY_MENSAL</f>
        <v>945.152119988489</v>
      </c>
      <c r="H89" s="32" t="n">
        <f aca="false">H88+D89</f>
        <v>92000</v>
      </c>
    </row>
    <row r="90" customFormat="false" ht="15" hidden="false" customHeight="false" outlineLevel="0" collapsed="false">
      <c r="A90" s="33" t="n">
        <v>88</v>
      </c>
      <c r="B90" s="33" t="n">
        <f aca="false">ROUNDUP(A90/12,0)</f>
        <v>8</v>
      </c>
      <c r="C90" s="34" t="n">
        <f aca="false">F89</f>
        <v>135021.731426927</v>
      </c>
      <c r="D90" s="34" t="n">
        <f aca="false">APORTE</f>
        <v>1000</v>
      </c>
      <c r="E90" s="34" t="n">
        <f aca="false">C90*TAXA_MENSAL</f>
        <v>1080.17385141542</v>
      </c>
      <c r="F90" s="34" t="n">
        <f aca="false">C90+D90+E90</f>
        <v>137101.905278342</v>
      </c>
      <c r="G90" s="34" t="n">
        <f aca="false">F90*DY_MENSAL</f>
        <v>959.713336948397</v>
      </c>
      <c r="H90" s="34" t="n">
        <f aca="false">H89+D90</f>
        <v>93000</v>
      </c>
    </row>
    <row r="91" customFormat="false" ht="15" hidden="false" customHeight="false" outlineLevel="0" collapsed="false">
      <c r="A91" s="31" t="n">
        <v>89</v>
      </c>
      <c r="B91" s="31" t="n">
        <f aca="false">ROUNDUP(A91/12,0)</f>
        <v>8</v>
      </c>
      <c r="C91" s="32" t="n">
        <f aca="false">F90</f>
        <v>137101.905278342</v>
      </c>
      <c r="D91" s="32" t="n">
        <f aca="false">APORTE</f>
        <v>1000</v>
      </c>
      <c r="E91" s="32" t="n">
        <f aca="false">C91*TAXA_MENSAL</f>
        <v>1096.81524222674</v>
      </c>
      <c r="F91" s="32" t="n">
        <f aca="false">C91+D91+E91</f>
        <v>139198.720520569</v>
      </c>
      <c r="G91" s="32" t="n">
        <f aca="false">F91*DY_MENSAL</f>
        <v>974.391043643984</v>
      </c>
      <c r="H91" s="32" t="n">
        <f aca="false">H90+D91</f>
        <v>94000</v>
      </c>
    </row>
    <row r="92" customFormat="false" ht="15" hidden="false" customHeight="false" outlineLevel="0" collapsed="false">
      <c r="A92" s="33" t="n">
        <v>90</v>
      </c>
      <c r="B92" s="33" t="n">
        <f aca="false">ROUNDUP(A92/12,0)</f>
        <v>8</v>
      </c>
      <c r="C92" s="34" t="n">
        <f aca="false">F91</f>
        <v>139198.720520569</v>
      </c>
      <c r="D92" s="34" t="n">
        <f aca="false">APORTE</f>
        <v>1000</v>
      </c>
      <c r="E92" s="34" t="n">
        <f aca="false">C92*TAXA_MENSAL</f>
        <v>1113.58976416455</v>
      </c>
      <c r="F92" s="34" t="n">
        <f aca="false">C92+D92+E92</f>
        <v>141312.310284734</v>
      </c>
      <c r="G92" s="34" t="n">
        <f aca="false">F92*DY_MENSAL</f>
        <v>989.186171993136</v>
      </c>
      <c r="H92" s="34" t="n">
        <f aca="false">H91+D92</f>
        <v>95000</v>
      </c>
    </row>
    <row r="93" customFormat="false" ht="15" hidden="false" customHeight="false" outlineLevel="0" collapsed="false">
      <c r="A93" s="31" t="n">
        <v>91</v>
      </c>
      <c r="B93" s="31" t="n">
        <f aca="false">ROUNDUP(A93/12,0)</f>
        <v>8</v>
      </c>
      <c r="C93" s="32" t="n">
        <f aca="false">F92</f>
        <v>141312.310284734</v>
      </c>
      <c r="D93" s="32" t="n">
        <f aca="false">APORTE</f>
        <v>1000</v>
      </c>
      <c r="E93" s="32" t="n">
        <f aca="false">C93*TAXA_MENSAL</f>
        <v>1130.49848227787</v>
      </c>
      <c r="F93" s="32" t="n">
        <f aca="false">C93+D93+E93</f>
        <v>143442.808767012</v>
      </c>
      <c r="G93" s="32" t="n">
        <f aca="false">F93*DY_MENSAL</f>
        <v>1004.09966136908</v>
      </c>
      <c r="H93" s="32" t="n">
        <f aca="false">H92+D93</f>
        <v>96000</v>
      </c>
    </row>
    <row r="94" customFormat="false" ht="15" hidden="false" customHeight="false" outlineLevel="0" collapsed="false">
      <c r="A94" s="33" t="n">
        <v>92</v>
      </c>
      <c r="B94" s="33" t="n">
        <f aca="false">ROUNDUP(A94/12,0)</f>
        <v>8</v>
      </c>
      <c r="C94" s="34" t="n">
        <f aca="false">F93</f>
        <v>143442.808767012</v>
      </c>
      <c r="D94" s="34" t="n">
        <f aca="false">APORTE</f>
        <v>1000</v>
      </c>
      <c r="E94" s="34" t="n">
        <f aca="false">C94*TAXA_MENSAL</f>
        <v>1147.54247013609</v>
      </c>
      <c r="F94" s="34" t="n">
        <f aca="false">C94+D94+E94</f>
        <v>145590.351237148</v>
      </c>
      <c r="G94" s="34" t="n">
        <f aca="false">F94*DY_MENSAL</f>
        <v>1019.13245866003</v>
      </c>
      <c r="H94" s="34" t="n">
        <f aca="false">H93+D94</f>
        <v>97000</v>
      </c>
    </row>
    <row r="95" customFormat="false" ht="15" hidden="false" customHeight="false" outlineLevel="0" collapsed="false">
      <c r="A95" s="31" t="n">
        <v>93</v>
      </c>
      <c r="B95" s="31" t="n">
        <f aca="false">ROUNDUP(A95/12,0)</f>
        <v>8</v>
      </c>
      <c r="C95" s="32" t="n">
        <f aca="false">F94</f>
        <v>145590.351237148</v>
      </c>
      <c r="D95" s="32" t="n">
        <f aca="false">APORTE</f>
        <v>1000</v>
      </c>
      <c r="E95" s="32" t="n">
        <f aca="false">C95*TAXA_MENSAL</f>
        <v>1164.72280989718</v>
      </c>
      <c r="F95" s="32" t="n">
        <f aca="false">C95+D95+E95</f>
        <v>147755.074047045</v>
      </c>
      <c r="G95" s="32" t="n">
        <f aca="false">F95*DY_MENSAL</f>
        <v>1034.28551832931</v>
      </c>
      <c r="H95" s="32" t="n">
        <f aca="false">H94+D95</f>
        <v>98000</v>
      </c>
    </row>
    <row r="96" customFormat="false" ht="15" hidden="false" customHeight="false" outlineLevel="0" collapsed="false">
      <c r="A96" s="33" t="n">
        <v>94</v>
      </c>
      <c r="B96" s="33" t="n">
        <f aca="false">ROUNDUP(A96/12,0)</f>
        <v>8</v>
      </c>
      <c r="C96" s="34" t="n">
        <f aca="false">F95</f>
        <v>147755.074047045</v>
      </c>
      <c r="D96" s="34" t="n">
        <f aca="false">APORTE</f>
        <v>1000</v>
      </c>
      <c r="E96" s="34" t="n">
        <f aca="false">C96*TAXA_MENSAL</f>
        <v>1182.04059237636</v>
      </c>
      <c r="F96" s="34" t="n">
        <f aca="false">C96+D96+E96</f>
        <v>149937.114639421</v>
      </c>
      <c r="G96" s="34" t="n">
        <f aca="false">F96*DY_MENSAL</f>
        <v>1049.55980247595</v>
      </c>
      <c r="H96" s="34" t="n">
        <f aca="false">H95+D96</f>
        <v>99000</v>
      </c>
    </row>
    <row r="97" customFormat="false" ht="15" hidden="false" customHeight="false" outlineLevel="0" collapsed="false">
      <c r="A97" s="31" t="n">
        <v>95</v>
      </c>
      <c r="B97" s="31" t="n">
        <f aca="false">ROUNDUP(A97/12,0)</f>
        <v>8</v>
      </c>
      <c r="C97" s="32" t="n">
        <f aca="false">F96</f>
        <v>149937.114639421</v>
      </c>
      <c r="D97" s="32" t="n">
        <f aca="false">APORTE</f>
        <v>1000</v>
      </c>
      <c r="E97" s="32" t="n">
        <f aca="false">C97*TAXA_MENSAL</f>
        <v>1199.49691711537</v>
      </c>
      <c r="F97" s="32" t="n">
        <f aca="false">C97+D97+E97</f>
        <v>152136.611556537</v>
      </c>
      <c r="G97" s="32" t="n">
        <f aca="false">F97*DY_MENSAL</f>
        <v>1064.95628089576</v>
      </c>
      <c r="H97" s="32" t="n">
        <f aca="false">H96+D97</f>
        <v>100000</v>
      </c>
    </row>
    <row r="98" customFormat="false" ht="15" hidden="false" customHeight="false" outlineLevel="0" collapsed="false">
      <c r="A98" s="33" t="n">
        <v>96</v>
      </c>
      <c r="B98" s="33" t="n">
        <f aca="false">ROUNDUP(A98/12,0)</f>
        <v>8</v>
      </c>
      <c r="C98" s="34" t="n">
        <f aca="false">F97</f>
        <v>152136.611556537</v>
      </c>
      <c r="D98" s="34" t="n">
        <f aca="false">APORTE</f>
        <v>1000</v>
      </c>
      <c r="E98" s="34" t="n">
        <f aca="false">C98*TAXA_MENSAL</f>
        <v>1217.09289245229</v>
      </c>
      <c r="F98" s="34" t="n">
        <f aca="false">C98+D98+E98</f>
        <v>154353.704448989</v>
      </c>
      <c r="G98" s="34" t="n">
        <f aca="false">F98*DY_MENSAL</f>
        <v>1080.47593114292</v>
      </c>
      <c r="H98" s="34" t="n">
        <f aca="false">H97+D98</f>
        <v>101000</v>
      </c>
    </row>
    <row r="99" customFormat="false" ht="15" hidden="false" customHeight="false" outlineLevel="0" collapsed="false">
      <c r="A99" s="31" t="n">
        <v>97</v>
      </c>
      <c r="B99" s="31" t="n">
        <f aca="false">ROUNDUP(A99/12,0)</f>
        <v>9</v>
      </c>
      <c r="C99" s="32" t="n">
        <f aca="false">F98</f>
        <v>154353.704448989</v>
      </c>
      <c r="D99" s="32" t="n">
        <f aca="false">APORTE</f>
        <v>1000</v>
      </c>
      <c r="E99" s="32" t="n">
        <f aca="false">C99*TAXA_MENSAL</f>
        <v>1234.82963559191</v>
      </c>
      <c r="F99" s="32" t="n">
        <f aca="false">C99+D99+E99</f>
        <v>156588.534084581</v>
      </c>
      <c r="G99" s="32" t="n">
        <f aca="false">F99*DY_MENSAL</f>
        <v>1096.11973859207</v>
      </c>
      <c r="H99" s="32" t="n">
        <f aca="false">H98+D99</f>
        <v>102000</v>
      </c>
    </row>
    <row r="100" customFormat="false" ht="15" hidden="false" customHeight="false" outlineLevel="0" collapsed="false">
      <c r="A100" s="33" t="n">
        <v>98</v>
      </c>
      <c r="B100" s="33" t="n">
        <f aca="false">ROUNDUP(A100/12,0)</f>
        <v>9</v>
      </c>
      <c r="C100" s="34" t="n">
        <f aca="false">F99</f>
        <v>156588.534084581</v>
      </c>
      <c r="D100" s="34" t="n">
        <f aca="false">APORTE</f>
        <v>1000</v>
      </c>
      <c r="E100" s="34" t="n">
        <f aca="false">C100*TAXA_MENSAL</f>
        <v>1252.70827267665</v>
      </c>
      <c r="F100" s="34" t="n">
        <f aca="false">C100+D100+E100</f>
        <v>158841.242357257</v>
      </c>
      <c r="G100" s="34" t="n">
        <f aca="false">F100*DY_MENSAL</f>
        <v>1111.8886965008</v>
      </c>
      <c r="H100" s="34" t="n">
        <f aca="false">H99+D100</f>
        <v>103000</v>
      </c>
    </row>
    <row r="101" customFormat="false" ht="15" hidden="false" customHeight="false" outlineLevel="0" collapsed="false">
      <c r="A101" s="31" t="n">
        <v>99</v>
      </c>
      <c r="B101" s="31" t="n">
        <f aca="false">ROUNDUP(A101/12,0)</f>
        <v>9</v>
      </c>
      <c r="C101" s="32" t="n">
        <f aca="false">F100</f>
        <v>158841.242357257</v>
      </c>
      <c r="D101" s="32" t="n">
        <f aca="false">APORTE</f>
        <v>1000</v>
      </c>
      <c r="E101" s="32" t="n">
        <f aca="false">C101*TAXA_MENSAL</f>
        <v>1270.72993885806</v>
      </c>
      <c r="F101" s="32" t="n">
        <f aca="false">C101+D101+E101</f>
        <v>161111.972296116</v>
      </c>
      <c r="G101" s="32" t="n">
        <f aca="false">F101*DY_MENSAL</f>
        <v>1127.78380607281</v>
      </c>
      <c r="H101" s="32" t="n">
        <f aca="false">H100+D101</f>
        <v>104000</v>
      </c>
    </row>
    <row r="102" customFormat="false" ht="15" hidden="false" customHeight="false" outlineLevel="0" collapsed="false">
      <c r="A102" s="33" t="n">
        <v>100</v>
      </c>
      <c r="B102" s="33" t="n">
        <f aca="false">ROUNDUP(A102/12,0)</f>
        <v>9</v>
      </c>
      <c r="C102" s="34" t="n">
        <f aca="false">F101</f>
        <v>161111.972296116</v>
      </c>
      <c r="D102" s="34" t="n">
        <f aca="false">APORTE</f>
        <v>1000</v>
      </c>
      <c r="E102" s="34" t="n">
        <f aca="false">C102*TAXA_MENSAL</f>
        <v>1288.89577836892</v>
      </c>
      <c r="F102" s="34" t="n">
        <f aca="false">C102+D102+E102</f>
        <v>163400.868074484</v>
      </c>
      <c r="G102" s="34" t="n">
        <f aca="false">F102*DY_MENSAL</f>
        <v>1143.80607652139</v>
      </c>
      <c r="H102" s="34" t="n">
        <f aca="false">H101+D102</f>
        <v>105000</v>
      </c>
    </row>
    <row r="103" customFormat="false" ht="15" hidden="false" customHeight="false" outlineLevel="0" collapsed="false">
      <c r="A103" s="31" t="n">
        <v>101</v>
      </c>
      <c r="B103" s="31" t="n">
        <f aca="false">ROUNDUP(A103/12,0)</f>
        <v>9</v>
      </c>
      <c r="C103" s="32" t="n">
        <f aca="false">F102</f>
        <v>163400.868074484</v>
      </c>
      <c r="D103" s="32" t="n">
        <f aca="false">APORTE</f>
        <v>1000</v>
      </c>
      <c r="E103" s="32" t="n">
        <f aca="false">C103*TAXA_MENSAL</f>
        <v>1307.20694459588</v>
      </c>
      <c r="F103" s="32" t="n">
        <f aca="false">C103+D103+E103</f>
        <v>165708.07501908</v>
      </c>
      <c r="G103" s="32" t="n">
        <f aca="false">F103*DY_MENSAL</f>
        <v>1159.95652513356</v>
      </c>
      <c r="H103" s="32" t="n">
        <f aca="false">H102+D103</f>
        <v>106000</v>
      </c>
    </row>
    <row r="104" customFormat="false" ht="15" hidden="false" customHeight="false" outlineLevel="0" collapsed="false">
      <c r="A104" s="33" t="n">
        <v>102</v>
      </c>
      <c r="B104" s="33" t="n">
        <f aca="false">ROUNDUP(A104/12,0)</f>
        <v>9</v>
      </c>
      <c r="C104" s="34" t="n">
        <f aca="false">F103</f>
        <v>165708.07501908</v>
      </c>
      <c r="D104" s="34" t="n">
        <f aca="false">APORTE</f>
        <v>1000</v>
      </c>
      <c r="E104" s="34" t="n">
        <f aca="false">C104*TAXA_MENSAL</f>
        <v>1325.66460015264</v>
      </c>
      <c r="F104" s="34" t="n">
        <f aca="false">C104+D104+E104</f>
        <v>168033.739619233</v>
      </c>
      <c r="G104" s="34" t="n">
        <f aca="false">F104*DY_MENSAL</f>
        <v>1176.23617733463</v>
      </c>
      <c r="H104" s="34" t="n">
        <f aca="false">H103+D104</f>
        <v>107000</v>
      </c>
    </row>
    <row r="105" customFormat="false" ht="15" hidden="false" customHeight="false" outlineLevel="0" collapsed="false">
      <c r="A105" s="31" t="n">
        <v>103</v>
      </c>
      <c r="B105" s="31" t="n">
        <f aca="false">ROUNDUP(A105/12,0)</f>
        <v>9</v>
      </c>
      <c r="C105" s="32" t="n">
        <f aca="false">F104</f>
        <v>168033.739619233</v>
      </c>
      <c r="D105" s="32" t="n">
        <f aca="false">APORTE</f>
        <v>1000</v>
      </c>
      <c r="E105" s="32" t="n">
        <f aca="false">C105*TAXA_MENSAL</f>
        <v>1344.26991695386</v>
      </c>
      <c r="F105" s="32" t="n">
        <f aca="false">C105+D105+E105</f>
        <v>170378.009536187</v>
      </c>
      <c r="G105" s="32" t="n">
        <f aca="false">F105*DY_MENSAL</f>
        <v>1192.64606675331</v>
      </c>
      <c r="H105" s="32" t="n">
        <f aca="false">H104+D105</f>
        <v>108000</v>
      </c>
    </row>
    <row r="106" customFormat="false" ht="15" hidden="false" customHeight="false" outlineLevel="0" collapsed="false">
      <c r="A106" s="33" t="n">
        <v>104</v>
      </c>
      <c r="B106" s="33" t="n">
        <f aca="false">ROUNDUP(A106/12,0)</f>
        <v>9</v>
      </c>
      <c r="C106" s="34" t="n">
        <f aca="false">F105</f>
        <v>170378.009536187</v>
      </c>
      <c r="D106" s="34" t="n">
        <f aca="false">APORTE</f>
        <v>1000</v>
      </c>
      <c r="E106" s="34" t="n">
        <f aca="false">C106*TAXA_MENSAL</f>
        <v>1363.02407628949</v>
      </c>
      <c r="F106" s="34" t="n">
        <f aca="false">C106+D106+E106</f>
        <v>172741.033612476</v>
      </c>
      <c r="G106" s="34" t="n">
        <f aca="false">F106*DY_MENSAL</f>
        <v>1209.18723528733</v>
      </c>
      <c r="H106" s="34" t="n">
        <f aca="false">H105+D106</f>
        <v>109000</v>
      </c>
    </row>
    <row r="107" customFormat="false" ht="15" hidden="false" customHeight="false" outlineLevel="0" collapsed="false">
      <c r="A107" s="31" t="n">
        <v>105</v>
      </c>
      <c r="B107" s="31" t="n">
        <f aca="false">ROUNDUP(A107/12,0)</f>
        <v>9</v>
      </c>
      <c r="C107" s="32" t="n">
        <f aca="false">F106</f>
        <v>172741.033612476</v>
      </c>
      <c r="D107" s="32" t="n">
        <f aca="false">APORTE</f>
        <v>1000</v>
      </c>
      <c r="E107" s="32" t="n">
        <f aca="false">C107*TAXA_MENSAL</f>
        <v>1381.92826889981</v>
      </c>
      <c r="F107" s="32" t="n">
        <f aca="false">C107+D107+E107</f>
        <v>175122.961881376</v>
      </c>
      <c r="G107" s="32" t="n">
        <f aca="false">F107*DY_MENSAL</f>
        <v>1225.86073316963</v>
      </c>
      <c r="H107" s="32" t="n">
        <f aca="false">H106+D107</f>
        <v>110000</v>
      </c>
    </row>
    <row r="108" customFormat="false" ht="15" hidden="false" customHeight="false" outlineLevel="0" collapsed="false">
      <c r="A108" s="33" t="n">
        <v>106</v>
      </c>
      <c r="B108" s="33" t="n">
        <f aca="false">ROUNDUP(A108/12,0)</f>
        <v>9</v>
      </c>
      <c r="C108" s="34" t="n">
        <f aca="false">F107</f>
        <v>175122.961881376</v>
      </c>
      <c r="D108" s="34" t="n">
        <f aca="false">APORTE</f>
        <v>1000</v>
      </c>
      <c r="E108" s="34" t="n">
        <f aca="false">C108*TAXA_MENSAL</f>
        <v>1400.98369505101</v>
      </c>
      <c r="F108" s="34" t="n">
        <f aca="false">C108+D108+E108</f>
        <v>177523.945576427</v>
      </c>
      <c r="G108" s="34" t="n">
        <f aca="false">F108*DY_MENSAL</f>
        <v>1242.66761903499</v>
      </c>
      <c r="H108" s="34" t="n">
        <f aca="false">H107+D108</f>
        <v>111000</v>
      </c>
    </row>
    <row r="109" customFormat="false" ht="15" hidden="false" customHeight="false" outlineLevel="0" collapsed="false">
      <c r="A109" s="31" t="n">
        <v>107</v>
      </c>
      <c r="B109" s="31" t="n">
        <f aca="false">ROUNDUP(A109/12,0)</f>
        <v>9</v>
      </c>
      <c r="C109" s="32" t="n">
        <f aca="false">F108</f>
        <v>177523.945576427</v>
      </c>
      <c r="D109" s="32" t="n">
        <f aca="false">APORTE</f>
        <v>1000</v>
      </c>
      <c r="E109" s="32" t="n">
        <f aca="false">C109*TAXA_MENSAL</f>
        <v>1420.19156461142</v>
      </c>
      <c r="F109" s="32" t="n">
        <f aca="false">C109+D109+E109</f>
        <v>179944.137141039</v>
      </c>
      <c r="G109" s="32" t="n">
        <f aca="false">F109*DY_MENSAL</f>
        <v>1259.60895998727</v>
      </c>
      <c r="H109" s="32" t="n">
        <f aca="false">H108+D109</f>
        <v>112000</v>
      </c>
    </row>
    <row r="110" customFormat="false" ht="15" hidden="false" customHeight="false" outlineLevel="0" collapsed="false">
      <c r="A110" s="33" t="n">
        <v>108</v>
      </c>
      <c r="B110" s="33" t="n">
        <f aca="false">ROUNDUP(A110/12,0)</f>
        <v>9</v>
      </c>
      <c r="C110" s="34" t="n">
        <f aca="false">F109</f>
        <v>179944.137141039</v>
      </c>
      <c r="D110" s="34" t="n">
        <f aca="false">APORTE</f>
        <v>1000</v>
      </c>
      <c r="E110" s="34" t="n">
        <f aca="false">C110*TAXA_MENSAL</f>
        <v>1439.55309712831</v>
      </c>
      <c r="F110" s="34" t="n">
        <f aca="false">C110+D110+E110</f>
        <v>182383.690238167</v>
      </c>
      <c r="G110" s="34" t="n">
        <f aca="false">F110*DY_MENSAL</f>
        <v>1276.68583166717</v>
      </c>
      <c r="H110" s="34" t="n">
        <f aca="false">H109+D110</f>
        <v>113000</v>
      </c>
    </row>
    <row r="111" customFormat="false" ht="15" hidden="false" customHeight="false" outlineLevel="0" collapsed="false">
      <c r="A111" s="31" t="n">
        <v>109</v>
      </c>
      <c r="B111" s="31" t="n">
        <f aca="false">ROUNDUP(A111/12,0)</f>
        <v>10</v>
      </c>
      <c r="C111" s="32" t="n">
        <f aca="false">F110</f>
        <v>182383.690238167</v>
      </c>
      <c r="D111" s="32" t="n">
        <f aca="false">APORTE</f>
        <v>1000</v>
      </c>
      <c r="E111" s="32" t="n">
        <f aca="false">C111*TAXA_MENSAL</f>
        <v>1459.06952190534</v>
      </c>
      <c r="F111" s="32" t="n">
        <f aca="false">C111+D111+E111</f>
        <v>184842.759760072</v>
      </c>
      <c r="G111" s="32" t="n">
        <f aca="false">F111*DY_MENSAL</f>
        <v>1293.89931832051</v>
      </c>
      <c r="H111" s="32" t="n">
        <f aca="false">H110+D111</f>
        <v>114000</v>
      </c>
    </row>
    <row r="112" customFormat="false" ht="15" hidden="false" customHeight="false" outlineLevel="0" collapsed="false">
      <c r="A112" s="33" t="n">
        <v>110</v>
      </c>
      <c r="B112" s="33" t="n">
        <f aca="false">ROUNDUP(A112/12,0)</f>
        <v>10</v>
      </c>
      <c r="C112" s="34" t="n">
        <f aca="false">F111</f>
        <v>184842.759760072</v>
      </c>
      <c r="D112" s="34" t="n">
        <f aca="false">APORTE</f>
        <v>1000</v>
      </c>
      <c r="E112" s="34" t="n">
        <f aca="false">C112*TAXA_MENSAL</f>
        <v>1478.74207808058</v>
      </c>
      <c r="F112" s="34" t="n">
        <f aca="false">C112+D112+E112</f>
        <v>187321.501838153</v>
      </c>
      <c r="G112" s="34" t="n">
        <f aca="false">F112*DY_MENSAL</f>
        <v>1311.25051286707</v>
      </c>
      <c r="H112" s="34" t="n">
        <f aca="false">H111+D112</f>
        <v>115000</v>
      </c>
    </row>
    <row r="113" customFormat="false" ht="15" hidden="false" customHeight="false" outlineLevel="0" collapsed="false">
      <c r="A113" s="31" t="n">
        <v>111</v>
      </c>
      <c r="B113" s="31" t="n">
        <f aca="false">ROUNDUP(A113/12,0)</f>
        <v>10</v>
      </c>
      <c r="C113" s="32" t="n">
        <f aca="false">F112</f>
        <v>187321.501838153</v>
      </c>
      <c r="D113" s="32" t="n">
        <f aca="false">APORTE</f>
        <v>1000</v>
      </c>
      <c r="E113" s="32" t="n">
        <f aca="false">C113*TAXA_MENSAL</f>
        <v>1498.57201470522</v>
      </c>
      <c r="F113" s="32" t="n">
        <f aca="false">C113+D113+E113</f>
        <v>189820.073852858</v>
      </c>
      <c r="G113" s="32" t="n">
        <f aca="false">F113*DY_MENSAL</f>
        <v>1328.74051697001</v>
      </c>
      <c r="H113" s="32" t="n">
        <f aca="false">H112+D113</f>
        <v>116000</v>
      </c>
    </row>
    <row r="114" customFormat="false" ht="15" hidden="false" customHeight="false" outlineLevel="0" collapsed="false">
      <c r="A114" s="33" t="n">
        <v>112</v>
      </c>
      <c r="B114" s="33" t="n">
        <f aca="false">ROUNDUP(A114/12,0)</f>
        <v>10</v>
      </c>
      <c r="C114" s="34" t="n">
        <f aca="false">F113</f>
        <v>189820.073852858</v>
      </c>
      <c r="D114" s="34" t="n">
        <f aca="false">APORTE</f>
        <v>1000</v>
      </c>
      <c r="E114" s="34" t="n">
        <f aca="false">C114*TAXA_MENSAL</f>
        <v>1518.56059082286</v>
      </c>
      <c r="F114" s="34" t="n">
        <f aca="false">C114+D114+E114</f>
        <v>192338.634443681</v>
      </c>
      <c r="G114" s="34" t="n">
        <f aca="false">F114*DY_MENSAL</f>
        <v>1346.37044110577</v>
      </c>
      <c r="H114" s="34" t="n">
        <f aca="false">H113+D114</f>
        <v>117000</v>
      </c>
    </row>
    <row r="115" customFormat="false" ht="15" hidden="false" customHeight="false" outlineLevel="0" collapsed="false">
      <c r="A115" s="31" t="n">
        <v>113</v>
      </c>
      <c r="B115" s="31" t="n">
        <f aca="false">ROUNDUP(A115/12,0)</f>
        <v>10</v>
      </c>
      <c r="C115" s="32" t="n">
        <f aca="false">F114</f>
        <v>192338.634443681</v>
      </c>
      <c r="D115" s="32" t="n">
        <f aca="false">APORTE</f>
        <v>1000</v>
      </c>
      <c r="E115" s="32" t="n">
        <f aca="false">C115*TAXA_MENSAL</f>
        <v>1538.70907554945</v>
      </c>
      <c r="F115" s="32" t="n">
        <f aca="false">C115+D115+E115</f>
        <v>194877.34351923</v>
      </c>
      <c r="G115" s="32" t="n">
        <f aca="false">F115*DY_MENSAL</f>
        <v>1364.14140463461</v>
      </c>
      <c r="H115" s="32" t="n">
        <f aca="false">H114+D115</f>
        <v>118000</v>
      </c>
    </row>
    <row r="116" customFormat="false" ht="15" hidden="false" customHeight="false" outlineLevel="0" collapsed="false">
      <c r="A116" s="33" t="n">
        <v>114</v>
      </c>
      <c r="B116" s="33" t="n">
        <f aca="false">ROUNDUP(A116/12,0)</f>
        <v>10</v>
      </c>
      <c r="C116" s="34" t="n">
        <f aca="false">F115</f>
        <v>194877.34351923</v>
      </c>
      <c r="D116" s="34" t="n">
        <f aca="false">APORTE</f>
        <v>1000</v>
      </c>
      <c r="E116" s="34" t="n">
        <f aca="false">C116*TAXA_MENSAL</f>
        <v>1559.01874815384</v>
      </c>
      <c r="F116" s="34" t="n">
        <f aca="false">C116+D116+E116</f>
        <v>197436.362267384</v>
      </c>
      <c r="G116" s="34" t="n">
        <f aca="false">F116*DY_MENSAL</f>
        <v>1382.05453587169</v>
      </c>
      <c r="H116" s="34" t="n">
        <f aca="false">H115+D116</f>
        <v>119000</v>
      </c>
    </row>
    <row r="117" customFormat="false" ht="15" hidden="false" customHeight="false" outlineLevel="0" collapsed="false">
      <c r="A117" s="31" t="n">
        <v>115</v>
      </c>
      <c r="B117" s="31" t="n">
        <f aca="false">ROUNDUP(A117/12,0)</f>
        <v>10</v>
      </c>
      <c r="C117" s="32" t="n">
        <f aca="false">F116</f>
        <v>197436.362267384</v>
      </c>
      <c r="D117" s="32" t="n">
        <f aca="false">APORTE</f>
        <v>1000</v>
      </c>
      <c r="E117" s="32" t="n">
        <f aca="false">C117*TAXA_MENSAL</f>
        <v>1579.49089813907</v>
      </c>
      <c r="F117" s="32" t="n">
        <f aca="false">C117+D117+E117</f>
        <v>200015.853165523</v>
      </c>
      <c r="G117" s="32" t="n">
        <f aca="false">F117*DY_MENSAL</f>
        <v>1400.11097215866</v>
      </c>
      <c r="H117" s="32" t="n">
        <f aca="false">H116+D117</f>
        <v>120000</v>
      </c>
    </row>
    <row r="118" customFormat="false" ht="15" hidden="false" customHeight="false" outlineLevel="0" collapsed="false">
      <c r="A118" s="33" t="n">
        <v>116</v>
      </c>
      <c r="B118" s="33" t="n">
        <f aca="false">ROUNDUP(A118/12,0)</f>
        <v>10</v>
      </c>
      <c r="C118" s="34" t="n">
        <f aca="false">F117</f>
        <v>200015.853165523</v>
      </c>
      <c r="D118" s="34" t="n">
        <f aca="false">APORTE</f>
        <v>1000</v>
      </c>
      <c r="E118" s="34" t="n">
        <f aca="false">C118*TAXA_MENSAL</f>
        <v>1600.12682532419</v>
      </c>
      <c r="F118" s="34" t="n">
        <f aca="false">C118+D118+E118</f>
        <v>202615.979990847</v>
      </c>
      <c r="G118" s="34" t="n">
        <f aca="false">F118*DY_MENSAL</f>
        <v>1418.31185993593</v>
      </c>
      <c r="H118" s="34" t="n">
        <f aca="false">H117+D118</f>
        <v>121000</v>
      </c>
    </row>
    <row r="119" customFormat="false" ht="15" hidden="false" customHeight="false" outlineLevel="0" collapsed="false">
      <c r="A119" s="31" t="n">
        <v>117</v>
      </c>
      <c r="B119" s="31" t="n">
        <f aca="false">ROUNDUP(A119/12,0)</f>
        <v>10</v>
      </c>
      <c r="C119" s="32" t="n">
        <f aca="false">F118</f>
        <v>202615.979990847</v>
      </c>
      <c r="D119" s="32" t="n">
        <f aca="false">APORTE</f>
        <v>1000</v>
      </c>
      <c r="E119" s="32" t="n">
        <f aca="false">C119*TAXA_MENSAL</f>
        <v>1620.92783992678</v>
      </c>
      <c r="F119" s="32" t="n">
        <f aca="false">C119+D119+E119</f>
        <v>205236.907830774</v>
      </c>
      <c r="G119" s="32" t="n">
        <f aca="false">F119*DY_MENSAL</f>
        <v>1436.65835481542</v>
      </c>
      <c r="H119" s="32" t="n">
        <f aca="false">H118+D119</f>
        <v>122000</v>
      </c>
    </row>
    <row r="120" customFormat="false" ht="15" hidden="false" customHeight="false" outlineLevel="0" collapsed="false">
      <c r="A120" s="33" t="n">
        <v>118</v>
      </c>
      <c r="B120" s="33" t="n">
        <f aca="false">ROUNDUP(A120/12,0)</f>
        <v>10</v>
      </c>
      <c r="C120" s="34" t="n">
        <f aca="false">F119</f>
        <v>205236.907830774</v>
      </c>
      <c r="D120" s="34" t="n">
        <f aca="false">APORTE</f>
        <v>1000</v>
      </c>
      <c r="E120" s="34" t="n">
        <f aca="false">C120*TAXA_MENSAL</f>
        <v>1641.89526264619</v>
      </c>
      <c r="F120" s="34" t="n">
        <f aca="false">C120+D120+E120</f>
        <v>207878.80309342</v>
      </c>
      <c r="G120" s="34" t="n">
        <f aca="false">F120*DY_MENSAL</f>
        <v>1455.15162165394</v>
      </c>
      <c r="H120" s="34" t="n">
        <f aca="false">H119+D120</f>
        <v>123000</v>
      </c>
    </row>
    <row r="121" customFormat="false" ht="15" hidden="false" customHeight="false" outlineLevel="0" collapsed="false">
      <c r="A121" s="31" t="n">
        <v>119</v>
      </c>
      <c r="B121" s="31" t="n">
        <f aca="false">ROUNDUP(A121/12,0)</f>
        <v>10</v>
      </c>
      <c r="C121" s="32" t="n">
        <f aca="false">F120</f>
        <v>207878.80309342</v>
      </c>
      <c r="D121" s="32" t="n">
        <f aca="false">APORTE</f>
        <v>1000</v>
      </c>
      <c r="E121" s="32" t="n">
        <f aca="false">C121*TAXA_MENSAL</f>
        <v>1663.03042474736</v>
      </c>
      <c r="F121" s="32" t="n">
        <f aca="false">C121+D121+E121</f>
        <v>210541.833518168</v>
      </c>
      <c r="G121" s="32" t="n">
        <f aca="false">F121*DY_MENSAL</f>
        <v>1473.79283462717</v>
      </c>
      <c r="H121" s="32" t="n">
        <f aca="false">H120+D121</f>
        <v>124000</v>
      </c>
    </row>
    <row r="122" customFormat="false" ht="15" hidden="false" customHeight="false" outlineLevel="0" collapsed="false">
      <c r="A122" s="33" t="n">
        <v>120</v>
      </c>
      <c r="B122" s="33" t="n">
        <f aca="false">ROUNDUP(A122/12,0)</f>
        <v>10</v>
      </c>
      <c r="C122" s="34" t="n">
        <f aca="false">F121</f>
        <v>210541.833518168</v>
      </c>
      <c r="D122" s="34" t="n">
        <f aca="false">APORTE</f>
        <v>1000</v>
      </c>
      <c r="E122" s="34" t="n">
        <f aca="false">C122*TAXA_MENSAL</f>
        <v>1684.33466814534</v>
      </c>
      <c r="F122" s="34" t="n">
        <f aca="false">C122+D122+E122</f>
        <v>213226.168186313</v>
      </c>
      <c r="G122" s="34" t="n">
        <f aca="false">F122*DY_MENSAL</f>
        <v>1492.58317730419</v>
      </c>
      <c r="H122" s="34" t="n">
        <f aca="false">H121+D122</f>
        <v>125000</v>
      </c>
    </row>
    <row r="123" customFormat="false" ht="15" hidden="false" customHeight="false" outlineLevel="0" collapsed="false">
      <c r="A123" s="31" t="n">
        <v>121</v>
      </c>
      <c r="B123" s="31" t="n">
        <f aca="false">ROUNDUP(A123/12,0)</f>
        <v>11</v>
      </c>
      <c r="C123" s="32" t="n">
        <f aca="false">F122</f>
        <v>213226.168186313</v>
      </c>
      <c r="D123" s="32" t="n">
        <f aca="false">APORTE</f>
        <v>1000</v>
      </c>
      <c r="E123" s="32" t="n">
        <f aca="false">C123*TAXA_MENSAL</f>
        <v>1705.8093454905</v>
      </c>
      <c r="F123" s="32" t="n">
        <f aca="false">C123+D123+E123</f>
        <v>215931.977531804</v>
      </c>
      <c r="G123" s="32" t="n">
        <f aca="false">F123*DY_MENSAL</f>
        <v>1511.52384272263</v>
      </c>
      <c r="H123" s="32" t="n">
        <f aca="false">H122+D123</f>
        <v>126000</v>
      </c>
    </row>
    <row r="124" customFormat="false" ht="15" hidden="false" customHeight="false" outlineLevel="0" collapsed="false">
      <c r="A124" s="33" t="n">
        <v>122</v>
      </c>
      <c r="B124" s="33" t="n">
        <f aca="false">ROUNDUP(A124/12,0)</f>
        <v>11</v>
      </c>
      <c r="C124" s="34" t="n">
        <f aca="false">F123</f>
        <v>215931.977531804</v>
      </c>
      <c r="D124" s="34" t="n">
        <f aca="false">APORTE</f>
        <v>1000</v>
      </c>
      <c r="E124" s="34" t="n">
        <f aca="false">C124*TAXA_MENSAL</f>
        <v>1727.45582025443</v>
      </c>
      <c r="F124" s="34" t="n">
        <f aca="false">C124+D124+E124</f>
        <v>218659.433352058</v>
      </c>
      <c r="G124" s="34" t="n">
        <f aca="false">F124*DY_MENSAL</f>
        <v>1530.61603346441</v>
      </c>
      <c r="H124" s="34" t="n">
        <f aca="false">H123+D124</f>
        <v>127000</v>
      </c>
    </row>
    <row r="125" customFormat="false" ht="15" hidden="false" customHeight="false" outlineLevel="0" collapsed="false">
      <c r="A125" s="31" t="n">
        <v>123</v>
      </c>
      <c r="B125" s="31" t="n">
        <f aca="false">ROUNDUP(A125/12,0)</f>
        <v>11</v>
      </c>
      <c r="C125" s="32" t="n">
        <f aca="false">F124</f>
        <v>218659.433352058</v>
      </c>
      <c r="D125" s="32" t="n">
        <f aca="false">APORTE</f>
        <v>1000</v>
      </c>
      <c r="E125" s="32" t="n">
        <f aca="false">C125*TAXA_MENSAL</f>
        <v>1749.27546681646</v>
      </c>
      <c r="F125" s="32" t="n">
        <f aca="false">C125+D125+E125</f>
        <v>221408.708818875</v>
      </c>
      <c r="G125" s="32" t="n">
        <f aca="false">F125*DY_MENSAL</f>
        <v>1549.86096173212</v>
      </c>
      <c r="H125" s="32" t="n">
        <f aca="false">H124+D125</f>
        <v>128000</v>
      </c>
    </row>
    <row r="126" customFormat="false" ht="15" hidden="false" customHeight="false" outlineLevel="0" collapsed="false">
      <c r="A126" s="33" t="n">
        <v>124</v>
      </c>
      <c r="B126" s="33" t="n">
        <f aca="false">ROUNDUP(A126/12,0)</f>
        <v>11</v>
      </c>
      <c r="C126" s="34" t="n">
        <f aca="false">F125</f>
        <v>221408.708818875</v>
      </c>
      <c r="D126" s="34" t="n">
        <f aca="false">APORTE</f>
        <v>1000</v>
      </c>
      <c r="E126" s="34" t="n">
        <f aca="false">C126*TAXA_MENSAL</f>
        <v>1771.269670551</v>
      </c>
      <c r="F126" s="34" t="n">
        <f aca="false">C126+D126+E126</f>
        <v>224179.978489426</v>
      </c>
      <c r="G126" s="34" t="n">
        <f aca="false">F126*DY_MENSAL</f>
        <v>1569.25984942598</v>
      </c>
      <c r="H126" s="34" t="n">
        <f aca="false">H125+D126</f>
        <v>129000</v>
      </c>
    </row>
    <row r="127" customFormat="false" ht="15" hidden="false" customHeight="false" outlineLevel="0" collapsed="false">
      <c r="A127" s="31" t="n">
        <v>125</v>
      </c>
      <c r="B127" s="31" t="n">
        <f aca="false">ROUNDUP(A127/12,0)</f>
        <v>11</v>
      </c>
      <c r="C127" s="32" t="n">
        <f aca="false">F126</f>
        <v>224179.978489426</v>
      </c>
      <c r="D127" s="32" t="n">
        <f aca="false">APORTE</f>
        <v>1000</v>
      </c>
      <c r="E127" s="32" t="n">
        <f aca="false">C127*TAXA_MENSAL</f>
        <v>1793.4398279154</v>
      </c>
      <c r="F127" s="32" t="n">
        <f aca="false">C127+D127+E127</f>
        <v>226973.418317341</v>
      </c>
      <c r="G127" s="32" t="n">
        <f aca="false">F127*DY_MENSAL</f>
        <v>1588.81392822139</v>
      </c>
      <c r="H127" s="32" t="n">
        <f aca="false">H126+D127</f>
        <v>130000</v>
      </c>
    </row>
    <row r="128" customFormat="false" ht="15" hidden="false" customHeight="false" outlineLevel="0" collapsed="false">
      <c r="A128" s="33" t="n">
        <v>126</v>
      </c>
      <c r="B128" s="33" t="n">
        <f aca="false">ROUNDUP(A128/12,0)</f>
        <v>11</v>
      </c>
      <c r="C128" s="34" t="n">
        <f aca="false">F127</f>
        <v>226973.418317341</v>
      </c>
      <c r="D128" s="34" t="n">
        <f aca="false">APORTE</f>
        <v>1000</v>
      </c>
      <c r="E128" s="34" t="n">
        <f aca="false">C128*TAXA_MENSAL</f>
        <v>1815.78734653873</v>
      </c>
      <c r="F128" s="34" t="n">
        <f aca="false">C128+D128+E128</f>
        <v>229789.20566388</v>
      </c>
      <c r="G128" s="34" t="n">
        <f aca="false">F128*DY_MENSAL</f>
        <v>1608.52443964716</v>
      </c>
      <c r="H128" s="34" t="n">
        <f aca="false">H127+D128</f>
        <v>131000</v>
      </c>
    </row>
    <row r="129" customFormat="false" ht="15" hidden="false" customHeight="false" outlineLevel="0" collapsed="false">
      <c r="A129" s="31" t="n">
        <v>127</v>
      </c>
      <c r="B129" s="31" t="n">
        <f aca="false">ROUNDUP(A129/12,0)</f>
        <v>11</v>
      </c>
      <c r="C129" s="32" t="n">
        <f aca="false">F128</f>
        <v>229789.20566388</v>
      </c>
      <c r="D129" s="32" t="n">
        <f aca="false">APORTE</f>
        <v>1000</v>
      </c>
      <c r="E129" s="32" t="n">
        <f aca="false">C129*TAXA_MENSAL</f>
        <v>1838.31364531104</v>
      </c>
      <c r="F129" s="32" t="n">
        <f aca="false">C129+D129+E129</f>
        <v>232627.519309191</v>
      </c>
      <c r="G129" s="32" t="n">
        <f aca="false">F129*DY_MENSAL</f>
        <v>1628.39263516434</v>
      </c>
      <c r="H129" s="32" t="n">
        <f aca="false">H128+D129</f>
        <v>132000</v>
      </c>
    </row>
    <row r="130" customFormat="false" ht="15" hidden="false" customHeight="false" outlineLevel="0" collapsed="false">
      <c r="A130" s="33" t="n">
        <v>128</v>
      </c>
      <c r="B130" s="33" t="n">
        <f aca="false">ROUNDUP(A130/12,0)</f>
        <v>11</v>
      </c>
      <c r="C130" s="34" t="n">
        <f aca="false">F129</f>
        <v>232627.519309191</v>
      </c>
      <c r="D130" s="34" t="n">
        <f aca="false">APORTE</f>
        <v>1000</v>
      </c>
      <c r="E130" s="34" t="n">
        <f aca="false">C130*TAXA_MENSAL</f>
        <v>1861.02015447353</v>
      </c>
      <c r="F130" s="34" t="n">
        <f aca="false">C130+D130+E130</f>
        <v>235488.539463664</v>
      </c>
      <c r="G130" s="34" t="n">
        <f aca="false">F130*DY_MENSAL</f>
        <v>1648.41977624565</v>
      </c>
      <c r="H130" s="34" t="n">
        <f aca="false">H129+D130</f>
        <v>133000</v>
      </c>
    </row>
    <row r="131" customFormat="false" ht="15" hidden="false" customHeight="false" outlineLevel="0" collapsed="false">
      <c r="A131" s="31" t="n">
        <v>129</v>
      </c>
      <c r="B131" s="31" t="n">
        <f aca="false">ROUNDUP(A131/12,0)</f>
        <v>11</v>
      </c>
      <c r="C131" s="32" t="n">
        <f aca="false">F130</f>
        <v>235488.539463664</v>
      </c>
      <c r="D131" s="32" t="n">
        <f aca="false">APORTE</f>
        <v>1000</v>
      </c>
      <c r="E131" s="32" t="n">
        <f aca="false">C131*TAXA_MENSAL</f>
        <v>1883.90831570931</v>
      </c>
      <c r="F131" s="32" t="n">
        <f aca="false">C131+D131+E131</f>
        <v>238372.447779374</v>
      </c>
      <c r="G131" s="32" t="n">
        <f aca="false">F131*DY_MENSAL</f>
        <v>1668.60713445561</v>
      </c>
      <c r="H131" s="32" t="n">
        <f aca="false">H130+D131</f>
        <v>134000</v>
      </c>
    </row>
    <row r="132" customFormat="false" ht="15" hidden="false" customHeight="false" outlineLevel="0" collapsed="false">
      <c r="A132" s="33" t="n">
        <v>130</v>
      </c>
      <c r="B132" s="33" t="n">
        <f aca="false">ROUNDUP(A132/12,0)</f>
        <v>11</v>
      </c>
      <c r="C132" s="34" t="n">
        <f aca="false">F131</f>
        <v>238372.447779374</v>
      </c>
      <c r="D132" s="34" t="n">
        <f aca="false">APORTE</f>
        <v>1000</v>
      </c>
      <c r="E132" s="34" t="n">
        <f aca="false">C132*TAXA_MENSAL</f>
        <v>1906.97958223499</v>
      </c>
      <c r="F132" s="34" t="n">
        <f aca="false">C132+D132+E132</f>
        <v>241279.427361609</v>
      </c>
      <c r="G132" s="34" t="n">
        <f aca="false">F132*DY_MENSAL</f>
        <v>1688.95599153126</v>
      </c>
      <c r="H132" s="34" t="n">
        <f aca="false">H131+D132</f>
        <v>135000</v>
      </c>
    </row>
    <row r="133" customFormat="false" ht="15" hidden="false" customHeight="false" outlineLevel="0" collapsed="false">
      <c r="A133" s="31" t="n">
        <v>131</v>
      </c>
      <c r="B133" s="31" t="n">
        <f aca="false">ROUNDUP(A133/12,0)</f>
        <v>11</v>
      </c>
      <c r="C133" s="32" t="n">
        <f aca="false">F132</f>
        <v>241279.427361609</v>
      </c>
      <c r="D133" s="32" t="n">
        <f aca="false">APORTE</f>
        <v>1000</v>
      </c>
      <c r="E133" s="32" t="n">
        <f aca="false">C133*TAXA_MENSAL</f>
        <v>1930.23541889287</v>
      </c>
      <c r="F133" s="32" t="n">
        <f aca="false">C133+D133+E133</f>
        <v>244209.662780501</v>
      </c>
      <c r="G133" s="32" t="n">
        <f aca="false">F133*DY_MENSAL</f>
        <v>1709.46763946351</v>
      </c>
      <c r="H133" s="32" t="n">
        <f aca="false">H132+D133</f>
        <v>136000</v>
      </c>
    </row>
    <row r="134" customFormat="false" ht="15" hidden="false" customHeight="false" outlineLevel="0" collapsed="false">
      <c r="A134" s="33" t="n">
        <v>132</v>
      </c>
      <c r="B134" s="33" t="n">
        <f aca="false">ROUNDUP(A134/12,0)</f>
        <v>11</v>
      </c>
      <c r="C134" s="34" t="n">
        <f aca="false">F133</f>
        <v>244209.662780501</v>
      </c>
      <c r="D134" s="34" t="n">
        <f aca="false">APORTE</f>
        <v>1000</v>
      </c>
      <c r="E134" s="34" t="n">
        <f aca="false">C134*TAXA_MENSAL</f>
        <v>1953.67730224401</v>
      </c>
      <c r="F134" s="34" t="n">
        <f aca="false">C134+D134+E134</f>
        <v>247163.340082745</v>
      </c>
      <c r="G134" s="34" t="n">
        <f aca="false">F134*DY_MENSAL</f>
        <v>1730.14338057922</v>
      </c>
      <c r="H134" s="34" t="n">
        <f aca="false">H133+D134</f>
        <v>137000</v>
      </c>
    </row>
    <row r="135" customFormat="false" ht="15" hidden="false" customHeight="false" outlineLevel="0" collapsed="false">
      <c r="A135" s="31" t="n">
        <v>133</v>
      </c>
      <c r="B135" s="31" t="n">
        <f aca="false">ROUNDUP(A135/12,0)</f>
        <v>12</v>
      </c>
      <c r="C135" s="32" t="n">
        <f aca="false">F134</f>
        <v>247163.340082745</v>
      </c>
      <c r="D135" s="32" t="n">
        <f aca="false">APORTE</f>
        <v>1000</v>
      </c>
      <c r="E135" s="32" t="n">
        <f aca="false">C135*TAXA_MENSAL</f>
        <v>1977.30672066196</v>
      </c>
      <c r="F135" s="32" t="n">
        <f aca="false">C135+D135+E135</f>
        <v>250140.646803407</v>
      </c>
      <c r="G135" s="32" t="n">
        <f aca="false">F135*DY_MENSAL</f>
        <v>1750.98452762385</v>
      </c>
      <c r="H135" s="32" t="n">
        <f aca="false">H134+D135</f>
        <v>138000</v>
      </c>
    </row>
    <row r="136" customFormat="false" ht="15" hidden="false" customHeight="false" outlineLevel="0" collapsed="false">
      <c r="A136" s="33" t="n">
        <v>134</v>
      </c>
      <c r="B136" s="33" t="n">
        <f aca="false">ROUNDUP(A136/12,0)</f>
        <v>12</v>
      </c>
      <c r="C136" s="34" t="n">
        <f aca="false">F135</f>
        <v>250140.646803407</v>
      </c>
      <c r="D136" s="34" t="n">
        <f aca="false">APORTE</f>
        <v>1000</v>
      </c>
      <c r="E136" s="34" t="n">
        <f aca="false">C136*TAXA_MENSAL</f>
        <v>2001.12517442726</v>
      </c>
      <c r="F136" s="34" t="n">
        <f aca="false">C136+D136+E136</f>
        <v>253141.771977835</v>
      </c>
      <c r="G136" s="34" t="n">
        <f aca="false">F136*DY_MENSAL</f>
        <v>1771.99240384484</v>
      </c>
      <c r="H136" s="34" t="n">
        <f aca="false">H135+D136</f>
        <v>139000</v>
      </c>
    </row>
    <row r="137" customFormat="false" ht="15" hidden="false" customHeight="false" outlineLevel="0" collapsed="false">
      <c r="A137" s="31" t="n">
        <v>135</v>
      </c>
      <c r="B137" s="31" t="n">
        <f aca="false">ROUNDUP(A137/12,0)</f>
        <v>12</v>
      </c>
      <c r="C137" s="32" t="n">
        <f aca="false">F136</f>
        <v>253141.771977835</v>
      </c>
      <c r="D137" s="32" t="n">
        <f aca="false">APORTE</f>
        <v>1000</v>
      </c>
      <c r="E137" s="32" t="n">
        <f aca="false">C137*TAXA_MENSAL</f>
        <v>2025.13417582268</v>
      </c>
      <c r="F137" s="32" t="n">
        <f aca="false">C137+D137+E137</f>
        <v>256166.906153657</v>
      </c>
      <c r="G137" s="32" t="n">
        <f aca="false">F137*DY_MENSAL</f>
        <v>1793.1683430756</v>
      </c>
      <c r="H137" s="32" t="n">
        <f aca="false">H136+D137</f>
        <v>140000</v>
      </c>
    </row>
    <row r="138" customFormat="false" ht="15" hidden="false" customHeight="false" outlineLevel="0" collapsed="false">
      <c r="A138" s="33" t="n">
        <v>136</v>
      </c>
      <c r="B138" s="33" t="n">
        <f aca="false">ROUNDUP(A138/12,0)</f>
        <v>12</v>
      </c>
      <c r="C138" s="34" t="n">
        <f aca="false">F137</f>
        <v>256166.906153657</v>
      </c>
      <c r="D138" s="34" t="n">
        <f aca="false">APORTE</f>
        <v>1000</v>
      </c>
      <c r="E138" s="34" t="n">
        <f aca="false">C138*TAXA_MENSAL</f>
        <v>2049.33524922926</v>
      </c>
      <c r="F138" s="34" t="n">
        <f aca="false">C138+D138+E138</f>
        <v>259216.241402887</v>
      </c>
      <c r="G138" s="34" t="n">
        <f aca="false">F138*DY_MENSAL</f>
        <v>1814.51368982021</v>
      </c>
      <c r="H138" s="34" t="n">
        <f aca="false">H137+D138</f>
        <v>141000</v>
      </c>
    </row>
    <row r="139" customFormat="false" ht="15" hidden="false" customHeight="false" outlineLevel="0" collapsed="false">
      <c r="A139" s="31" t="n">
        <v>137</v>
      </c>
      <c r="B139" s="31" t="n">
        <f aca="false">ROUNDUP(A139/12,0)</f>
        <v>12</v>
      </c>
      <c r="C139" s="32" t="n">
        <f aca="false">F138</f>
        <v>259216.241402887</v>
      </c>
      <c r="D139" s="32" t="n">
        <f aca="false">APORTE</f>
        <v>1000</v>
      </c>
      <c r="E139" s="32" t="n">
        <f aca="false">C139*TAXA_MENSAL</f>
        <v>2073.72993122309</v>
      </c>
      <c r="F139" s="32" t="n">
        <f aca="false">C139+D139+E139</f>
        <v>262289.97133411</v>
      </c>
      <c r="G139" s="32" t="n">
        <f aca="false">F139*DY_MENSAL</f>
        <v>1836.02979933877</v>
      </c>
      <c r="H139" s="32" t="n">
        <f aca="false">H138+D139</f>
        <v>142000</v>
      </c>
    </row>
    <row r="140" customFormat="false" ht="15" hidden="false" customHeight="false" outlineLevel="0" collapsed="false">
      <c r="A140" s="33" t="n">
        <v>138</v>
      </c>
      <c r="B140" s="33" t="n">
        <f aca="false">ROUNDUP(A140/12,0)</f>
        <v>12</v>
      </c>
      <c r="C140" s="34" t="n">
        <f aca="false">F139</f>
        <v>262289.97133411</v>
      </c>
      <c r="D140" s="34" t="n">
        <f aca="false">APORTE</f>
        <v>1000</v>
      </c>
      <c r="E140" s="34" t="n">
        <f aca="false">C140*TAXA_MENSAL</f>
        <v>2098.31977067288</v>
      </c>
      <c r="F140" s="34" t="n">
        <f aca="false">C140+D140+E140</f>
        <v>265388.291104783</v>
      </c>
      <c r="G140" s="34" t="n">
        <f aca="false">F140*DY_MENSAL</f>
        <v>1857.71803773348</v>
      </c>
      <c r="H140" s="34" t="n">
        <f aca="false">H139+D140</f>
        <v>143000</v>
      </c>
    </row>
    <row r="141" customFormat="false" ht="15" hidden="false" customHeight="false" outlineLevel="0" collapsed="false">
      <c r="A141" s="31" t="n">
        <v>139</v>
      </c>
      <c r="B141" s="31" t="n">
        <f aca="false">ROUNDUP(A141/12,0)</f>
        <v>12</v>
      </c>
      <c r="C141" s="32" t="n">
        <f aca="false">F140</f>
        <v>265388.291104783</v>
      </c>
      <c r="D141" s="32" t="n">
        <f aca="false">APORTE</f>
        <v>1000</v>
      </c>
      <c r="E141" s="32" t="n">
        <f aca="false">C141*TAXA_MENSAL</f>
        <v>2123.10632883826</v>
      </c>
      <c r="F141" s="32" t="n">
        <f aca="false">C141+D141+E141</f>
        <v>268511.397433621</v>
      </c>
      <c r="G141" s="32" t="n">
        <f aca="false">F141*DY_MENSAL</f>
        <v>1879.57978203535</v>
      </c>
      <c r="H141" s="32" t="n">
        <f aca="false">H140+D141</f>
        <v>144000</v>
      </c>
    </row>
    <row r="142" customFormat="false" ht="15" hidden="false" customHeight="false" outlineLevel="0" collapsed="false">
      <c r="A142" s="33" t="n">
        <v>140</v>
      </c>
      <c r="B142" s="33" t="n">
        <f aca="false">ROUNDUP(A142/12,0)</f>
        <v>12</v>
      </c>
      <c r="C142" s="34" t="n">
        <f aca="false">F141</f>
        <v>268511.397433621</v>
      </c>
      <c r="D142" s="34" t="n">
        <f aca="false">APORTE</f>
        <v>1000</v>
      </c>
      <c r="E142" s="34" t="n">
        <f aca="false">C142*TAXA_MENSAL</f>
        <v>2148.09117946897</v>
      </c>
      <c r="F142" s="34" t="n">
        <f aca="false">C142+D142+E142</f>
        <v>271659.48861309</v>
      </c>
      <c r="G142" s="34" t="n">
        <f aca="false">F142*DY_MENSAL</f>
        <v>1901.61642029163</v>
      </c>
      <c r="H142" s="34" t="n">
        <f aca="false">H141+D142</f>
        <v>145000</v>
      </c>
    </row>
    <row r="143" customFormat="false" ht="15" hidden="false" customHeight="false" outlineLevel="0" collapsed="false">
      <c r="A143" s="31" t="n">
        <v>141</v>
      </c>
      <c r="B143" s="31" t="n">
        <f aca="false">ROUNDUP(A143/12,0)</f>
        <v>12</v>
      </c>
      <c r="C143" s="32" t="n">
        <f aca="false">F142</f>
        <v>271659.48861309</v>
      </c>
      <c r="D143" s="32" t="n">
        <f aca="false">APORTE</f>
        <v>1000</v>
      </c>
      <c r="E143" s="32" t="n">
        <f aca="false">C143*TAXA_MENSAL</f>
        <v>2173.27590890472</v>
      </c>
      <c r="F143" s="32" t="n">
        <f aca="false">C143+D143+E143</f>
        <v>274832.764521994</v>
      </c>
      <c r="G143" s="32" t="n">
        <f aca="false">F143*DY_MENSAL</f>
        <v>1923.82935165396</v>
      </c>
      <c r="H143" s="32" t="n">
        <f aca="false">H142+D143</f>
        <v>146000</v>
      </c>
    </row>
    <row r="144" customFormat="false" ht="15" hidden="false" customHeight="false" outlineLevel="0" collapsed="false">
      <c r="A144" s="33" t="n">
        <v>142</v>
      </c>
      <c r="B144" s="33" t="n">
        <f aca="false">ROUNDUP(A144/12,0)</f>
        <v>12</v>
      </c>
      <c r="C144" s="34" t="n">
        <f aca="false">F143</f>
        <v>274832.764521994</v>
      </c>
      <c r="D144" s="34" t="n">
        <f aca="false">APORTE</f>
        <v>1000</v>
      </c>
      <c r="E144" s="34" t="n">
        <f aca="false">C144*TAXA_MENSAL</f>
        <v>2198.66211617596</v>
      </c>
      <c r="F144" s="34" t="n">
        <f aca="false">C144+D144+E144</f>
        <v>278031.42663817</v>
      </c>
      <c r="G144" s="34" t="n">
        <f aca="false">F144*DY_MENSAL</f>
        <v>1946.21998646719</v>
      </c>
      <c r="H144" s="34" t="n">
        <f aca="false">H143+D144</f>
        <v>147000</v>
      </c>
    </row>
    <row r="145" customFormat="false" ht="15" hidden="false" customHeight="false" outlineLevel="0" collapsed="false">
      <c r="A145" s="31" t="n">
        <v>143</v>
      </c>
      <c r="B145" s="31" t="n">
        <f aca="false">ROUNDUP(A145/12,0)</f>
        <v>12</v>
      </c>
      <c r="C145" s="32" t="n">
        <f aca="false">F144</f>
        <v>278031.42663817</v>
      </c>
      <c r="D145" s="32" t="n">
        <f aca="false">APORTE</f>
        <v>1000</v>
      </c>
      <c r="E145" s="32" t="n">
        <f aca="false">C145*TAXA_MENSAL</f>
        <v>2224.25141310536</v>
      </c>
      <c r="F145" s="32" t="n">
        <f aca="false">C145+D145+E145</f>
        <v>281255.678051276</v>
      </c>
      <c r="G145" s="32" t="n">
        <f aca="false">F145*DY_MENSAL</f>
        <v>1968.78974635893</v>
      </c>
      <c r="H145" s="32" t="n">
        <f aca="false">H144+D145</f>
        <v>148000</v>
      </c>
    </row>
    <row r="146" customFormat="false" ht="15" hidden="false" customHeight="false" outlineLevel="0" collapsed="false">
      <c r="A146" s="33" t="n">
        <v>144</v>
      </c>
      <c r="B146" s="33" t="n">
        <f aca="false">ROUNDUP(A146/12,0)</f>
        <v>12</v>
      </c>
      <c r="C146" s="34" t="n">
        <f aca="false">F145</f>
        <v>281255.678051276</v>
      </c>
      <c r="D146" s="34" t="n">
        <f aca="false">APORTE</f>
        <v>1000</v>
      </c>
      <c r="E146" s="34" t="n">
        <f aca="false">C146*TAXA_MENSAL</f>
        <v>2250.04542441021</v>
      </c>
      <c r="F146" s="34" t="n">
        <f aca="false">C146+D146+E146</f>
        <v>284505.723475686</v>
      </c>
      <c r="G146" s="34" t="n">
        <f aca="false">F146*DY_MENSAL</f>
        <v>1991.5400643298</v>
      </c>
      <c r="H146" s="34" t="n">
        <f aca="false">H145+D146</f>
        <v>149000</v>
      </c>
    </row>
    <row r="147" customFormat="false" ht="15" hidden="false" customHeight="false" outlineLevel="0" collapsed="false">
      <c r="A147" s="31" t="n">
        <v>145</v>
      </c>
      <c r="B147" s="31" t="n">
        <f aca="false">ROUNDUP(A147/12,0)</f>
        <v>13</v>
      </c>
      <c r="C147" s="32" t="n">
        <f aca="false">F146</f>
        <v>284505.723475686</v>
      </c>
      <c r="D147" s="32" t="n">
        <f aca="false">APORTE</f>
        <v>1000</v>
      </c>
      <c r="E147" s="32" t="n">
        <f aca="false">C147*TAXA_MENSAL</f>
        <v>2276.04578780549</v>
      </c>
      <c r="F147" s="32" t="n">
        <f aca="false">C147+D147+E147</f>
        <v>287781.769263492</v>
      </c>
      <c r="G147" s="32" t="n">
        <f aca="false">F147*DY_MENSAL</f>
        <v>2014.47238484444</v>
      </c>
      <c r="H147" s="32" t="n">
        <f aca="false">H146+D147</f>
        <v>150000</v>
      </c>
    </row>
    <row r="148" customFormat="false" ht="15" hidden="false" customHeight="false" outlineLevel="0" collapsed="false">
      <c r="A148" s="33" t="n">
        <v>146</v>
      </c>
      <c r="B148" s="33" t="n">
        <f aca="false">ROUNDUP(A148/12,0)</f>
        <v>13</v>
      </c>
      <c r="C148" s="34" t="n">
        <f aca="false">F147</f>
        <v>287781.769263492</v>
      </c>
      <c r="D148" s="34" t="n">
        <f aca="false">APORTE</f>
        <v>1000</v>
      </c>
      <c r="E148" s="34" t="n">
        <f aca="false">C148*TAXA_MENSAL</f>
        <v>2302.25415410793</v>
      </c>
      <c r="F148" s="34" t="n">
        <f aca="false">C148+D148+E148</f>
        <v>291084.023417599</v>
      </c>
      <c r="G148" s="34" t="n">
        <f aca="false">F148*DY_MENSAL</f>
        <v>2037.5881639232</v>
      </c>
      <c r="H148" s="34" t="n">
        <f aca="false">H147+D148</f>
        <v>151000</v>
      </c>
    </row>
    <row r="149" customFormat="false" ht="15" hidden="false" customHeight="false" outlineLevel="0" collapsed="false">
      <c r="A149" s="31" t="n">
        <v>147</v>
      </c>
      <c r="B149" s="31" t="n">
        <f aca="false">ROUNDUP(A149/12,0)</f>
        <v>13</v>
      </c>
      <c r="C149" s="32" t="n">
        <f aca="false">F148</f>
        <v>291084.023417599</v>
      </c>
      <c r="D149" s="32" t="n">
        <f aca="false">APORTE</f>
        <v>1000</v>
      </c>
      <c r="E149" s="32" t="n">
        <f aca="false">C149*TAXA_MENSAL</f>
        <v>2328.6721873408</v>
      </c>
      <c r="F149" s="32" t="n">
        <f aca="false">C149+D149+E149</f>
        <v>294412.69560494</v>
      </c>
      <c r="G149" s="32" t="n">
        <f aca="false">F149*DY_MENSAL</f>
        <v>2060.88886923458</v>
      </c>
      <c r="H149" s="32" t="n">
        <f aca="false">H148+D149</f>
        <v>152000</v>
      </c>
    </row>
    <row r="150" customFormat="false" ht="15" hidden="false" customHeight="false" outlineLevel="0" collapsed="false">
      <c r="A150" s="33" t="n">
        <v>148</v>
      </c>
      <c r="B150" s="33" t="n">
        <f aca="false">ROUNDUP(A150/12,0)</f>
        <v>13</v>
      </c>
      <c r="C150" s="34" t="n">
        <f aca="false">F149</f>
        <v>294412.69560494</v>
      </c>
      <c r="D150" s="34" t="n">
        <f aca="false">APORTE</f>
        <v>1000</v>
      </c>
      <c r="E150" s="34" t="n">
        <f aca="false">C150*TAXA_MENSAL</f>
        <v>2355.30156483952</v>
      </c>
      <c r="F150" s="34" t="n">
        <f aca="false">C150+D150+E150</f>
        <v>297767.99716978</v>
      </c>
      <c r="G150" s="34" t="n">
        <f aca="false">F150*DY_MENSAL</f>
        <v>2084.37598018846</v>
      </c>
      <c r="H150" s="34" t="n">
        <f aca="false">H149+D150</f>
        <v>153000</v>
      </c>
    </row>
    <row r="151" customFormat="false" ht="15" hidden="false" customHeight="false" outlineLevel="0" collapsed="false">
      <c r="A151" s="31" t="n">
        <v>149</v>
      </c>
      <c r="B151" s="31" t="n">
        <f aca="false">ROUNDUP(A151/12,0)</f>
        <v>13</v>
      </c>
      <c r="C151" s="32" t="n">
        <f aca="false">F150</f>
        <v>297767.99716978</v>
      </c>
      <c r="D151" s="32" t="n">
        <f aca="false">APORTE</f>
        <v>1000</v>
      </c>
      <c r="E151" s="32" t="n">
        <f aca="false">C151*TAXA_MENSAL</f>
        <v>2382.14397735824</v>
      </c>
      <c r="F151" s="32" t="n">
        <f aca="false">C151+D151+E151</f>
        <v>301150.141147138</v>
      </c>
      <c r="G151" s="32" t="n">
        <f aca="false">F151*DY_MENSAL</f>
        <v>2108.05098802997</v>
      </c>
      <c r="H151" s="32" t="n">
        <f aca="false">H150+D151</f>
        <v>154000</v>
      </c>
    </row>
    <row r="152" customFormat="false" ht="15" hidden="false" customHeight="false" outlineLevel="0" collapsed="false">
      <c r="A152" s="33" t="n">
        <v>150</v>
      </c>
      <c r="B152" s="33" t="n">
        <f aca="false">ROUNDUP(A152/12,0)</f>
        <v>13</v>
      </c>
      <c r="C152" s="34" t="n">
        <f aca="false">F151</f>
        <v>301150.141147138</v>
      </c>
      <c r="D152" s="34" t="n">
        <f aca="false">APORTE</f>
        <v>1000</v>
      </c>
      <c r="E152" s="34" t="n">
        <f aca="false">C152*TAXA_MENSAL</f>
        <v>2409.2011291771</v>
      </c>
      <c r="F152" s="34" t="n">
        <f aca="false">C152+D152+E152</f>
        <v>304559.342276315</v>
      </c>
      <c r="G152" s="34" t="n">
        <f aca="false">F152*DY_MENSAL</f>
        <v>2131.91539593421</v>
      </c>
      <c r="H152" s="34" t="n">
        <f aca="false">H151+D152</f>
        <v>155000</v>
      </c>
    </row>
    <row r="153" customFormat="false" ht="15" hidden="false" customHeight="false" outlineLevel="0" collapsed="false">
      <c r="A153" s="31" t="n">
        <v>151</v>
      </c>
      <c r="B153" s="31" t="n">
        <f aca="false">ROUNDUP(A153/12,0)</f>
        <v>13</v>
      </c>
      <c r="C153" s="32" t="n">
        <f aca="false">F152</f>
        <v>304559.342276315</v>
      </c>
      <c r="D153" s="32" t="n">
        <f aca="false">APORTE</f>
        <v>1000</v>
      </c>
      <c r="E153" s="32" t="n">
        <f aca="false">C153*TAXA_MENSAL</f>
        <v>2436.47473821052</v>
      </c>
      <c r="F153" s="32" t="n">
        <f aca="false">C153+D153+E153</f>
        <v>307995.817014526</v>
      </c>
      <c r="G153" s="32" t="n">
        <f aca="false">F153*DY_MENSAL</f>
        <v>2155.97071910168</v>
      </c>
      <c r="H153" s="32" t="n">
        <f aca="false">H152+D153</f>
        <v>156000</v>
      </c>
    </row>
    <row r="154" customFormat="false" ht="15" hidden="false" customHeight="false" outlineLevel="0" collapsed="false">
      <c r="A154" s="33" t="n">
        <v>152</v>
      </c>
      <c r="B154" s="33" t="n">
        <f aca="false">ROUNDUP(A154/12,0)</f>
        <v>13</v>
      </c>
      <c r="C154" s="34" t="n">
        <f aca="false">F153</f>
        <v>307995.817014526</v>
      </c>
      <c r="D154" s="34" t="n">
        <f aca="false">APORTE</f>
        <v>1000</v>
      </c>
      <c r="E154" s="34" t="n">
        <f aca="false">C154*TAXA_MENSAL</f>
        <v>2463.9665361162</v>
      </c>
      <c r="F154" s="34" t="n">
        <f aca="false">C154+D154+E154</f>
        <v>311459.783550642</v>
      </c>
      <c r="G154" s="34" t="n">
        <f aca="false">F154*DY_MENSAL</f>
        <v>2180.21848485449</v>
      </c>
      <c r="H154" s="34" t="n">
        <f aca="false">H153+D154</f>
        <v>157000</v>
      </c>
    </row>
    <row r="155" customFormat="false" ht="15" hidden="false" customHeight="false" outlineLevel="0" collapsed="false">
      <c r="A155" s="31" t="n">
        <v>153</v>
      </c>
      <c r="B155" s="31" t="n">
        <f aca="false">ROUNDUP(A155/12,0)</f>
        <v>13</v>
      </c>
      <c r="C155" s="32" t="n">
        <f aca="false">F154</f>
        <v>311459.783550642</v>
      </c>
      <c r="D155" s="32" t="n">
        <f aca="false">APORTE</f>
        <v>1000</v>
      </c>
      <c r="E155" s="32" t="n">
        <f aca="false">C155*TAXA_MENSAL</f>
        <v>2491.67826840513</v>
      </c>
      <c r="F155" s="32" t="n">
        <f aca="false">C155+D155+E155</f>
        <v>314951.461819047</v>
      </c>
      <c r="G155" s="32" t="n">
        <f aca="false">F155*DY_MENSAL</f>
        <v>2204.66023273333</v>
      </c>
      <c r="H155" s="32" t="n">
        <f aca="false">H154+D155</f>
        <v>158000</v>
      </c>
    </row>
    <row r="156" customFormat="false" ht="15" hidden="false" customHeight="false" outlineLevel="0" collapsed="false">
      <c r="A156" s="33" t="n">
        <v>154</v>
      </c>
      <c r="B156" s="33" t="n">
        <f aca="false">ROUNDUP(A156/12,0)</f>
        <v>13</v>
      </c>
      <c r="C156" s="34" t="n">
        <f aca="false">F155</f>
        <v>314951.461819047</v>
      </c>
      <c r="D156" s="34" t="n">
        <f aca="false">APORTE</f>
        <v>1000</v>
      </c>
      <c r="E156" s="34" t="n">
        <f aca="false">C156*TAXA_MENSAL</f>
        <v>2519.61169455238</v>
      </c>
      <c r="F156" s="34" t="n">
        <f aca="false">C156+D156+E156</f>
        <v>318471.073513599</v>
      </c>
      <c r="G156" s="34" t="n">
        <f aca="false">F156*DY_MENSAL</f>
        <v>2229.2975145952</v>
      </c>
      <c r="H156" s="34" t="n">
        <f aca="false">H155+D156</f>
        <v>159000</v>
      </c>
    </row>
    <row r="157" customFormat="false" ht="15" hidden="false" customHeight="false" outlineLevel="0" collapsed="false">
      <c r="A157" s="31" t="n">
        <v>155</v>
      </c>
      <c r="B157" s="31" t="n">
        <f aca="false">ROUNDUP(A157/12,0)</f>
        <v>13</v>
      </c>
      <c r="C157" s="32" t="n">
        <f aca="false">F156</f>
        <v>318471.073513599</v>
      </c>
      <c r="D157" s="32" t="n">
        <f aca="false">APORTE</f>
        <v>1000</v>
      </c>
      <c r="E157" s="32" t="n">
        <f aca="false">C157*TAXA_MENSAL</f>
        <v>2547.76858810879</v>
      </c>
      <c r="F157" s="32" t="n">
        <f aca="false">C157+D157+E157</f>
        <v>322018.842101708</v>
      </c>
      <c r="G157" s="32" t="n">
        <f aca="false">F157*DY_MENSAL</f>
        <v>2254.13189471196</v>
      </c>
      <c r="H157" s="32" t="n">
        <f aca="false">H156+D157</f>
        <v>160000</v>
      </c>
    </row>
    <row r="158" customFormat="false" ht="15" hidden="false" customHeight="false" outlineLevel="0" collapsed="false">
      <c r="A158" s="33" t="n">
        <v>156</v>
      </c>
      <c r="B158" s="33" t="n">
        <f aca="false">ROUNDUP(A158/12,0)</f>
        <v>13</v>
      </c>
      <c r="C158" s="34" t="n">
        <f aca="false">F157</f>
        <v>322018.842101708</v>
      </c>
      <c r="D158" s="34" t="n">
        <f aca="false">APORTE</f>
        <v>1000</v>
      </c>
      <c r="E158" s="34" t="n">
        <f aca="false">C158*TAXA_MENSAL</f>
        <v>2576.15073681366</v>
      </c>
      <c r="F158" s="34" t="n">
        <f aca="false">C158+D158+E158</f>
        <v>325594.992838522</v>
      </c>
      <c r="G158" s="34" t="n">
        <f aca="false">F158*DY_MENSAL</f>
        <v>2279.16494986965</v>
      </c>
      <c r="H158" s="34" t="n">
        <f aca="false">H157+D158</f>
        <v>161000</v>
      </c>
    </row>
    <row r="159" customFormat="false" ht="15" hidden="false" customHeight="false" outlineLevel="0" collapsed="false">
      <c r="A159" s="31" t="n">
        <v>157</v>
      </c>
      <c r="B159" s="31" t="n">
        <f aca="false">ROUNDUP(A159/12,0)</f>
        <v>14</v>
      </c>
      <c r="C159" s="32" t="n">
        <f aca="false">F158</f>
        <v>325594.992838522</v>
      </c>
      <c r="D159" s="32" t="n">
        <f aca="false">APORTE</f>
        <v>1000</v>
      </c>
      <c r="E159" s="32" t="n">
        <f aca="false">C159*TAXA_MENSAL</f>
        <v>2604.75994270817</v>
      </c>
      <c r="F159" s="32" t="n">
        <f aca="false">C159+D159+E159</f>
        <v>329199.75278123</v>
      </c>
      <c r="G159" s="32" t="n">
        <f aca="false">F159*DY_MENSAL</f>
        <v>2304.39826946861</v>
      </c>
      <c r="H159" s="32" t="n">
        <f aca="false">H158+D159</f>
        <v>162000</v>
      </c>
    </row>
    <row r="160" customFormat="false" ht="15" hidden="false" customHeight="false" outlineLevel="0" collapsed="false">
      <c r="A160" s="33" t="n">
        <v>158</v>
      </c>
      <c r="B160" s="33" t="n">
        <f aca="false">ROUNDUP(A160/12,0)</f>
        <v>14</v>
      </c>
      <c r="C160" s="34" t="n">
        <f aca="false">F159</f>
        <v>329199.75278123</v>
      </c>
      <c r="D160" s="34" t="n">
        <f aca="false">APORTE</f>
        <v>1000</v>
      </c>
      <c r="E160" s="34" t="n">
        <f aca="false">C160*TAXA_MENSAL</f>
        <v>2633.59802224984</v>
      </c>
      <c r="F160" s="34" t="n">
        <f aca="false">C160+D160+E160</f>
        <v>332833.35080348</v>
      </c>
      <c r="G160" s="34" t="n">
        <f aca="false">F160*DY_MENSAL</f>
        <v>2329.83345562436</v>
      </c>
      <c r="H160" s="34" t="n">
        <f aca="false">H159+D160</f>
        <v>163000</v>
      </c>
    </row>
    <row r="161" customFormat="false" ht="15" hidden="false" customHeight="false" outlineLevel="0" collapsed="false">
      <c r="A161" s="31" t="n">
        <v>159</v>
      </c>
      <c r="B161" s="31" t="n">
        <f aca="false">ROUNDUP(A161/12,0)</f>
        <v>14</v>
      </c>
      <c r="C161" s="32" t="n">
        <f aca="false">F160</f>
        <v>332833.35080348</v>
      </c>
      <c r="D161" s="32" t="n">
        <f aca="false">APORTE</f>
        <v>1000</v>
      </c>
      <c r="E161" s="32" t="n">
        <f aca="false">C161*TAXA_MENSAL</f>
        <v>2662.66680642784</v>
      </c>
      <c r="F161" s="32" t="n">
        <f aca="false">C161+D161+E161</f>
        <v>336496.017609908</v>
      </c>
      <c r="G161" s="32" t="n">
        <f aca="false">F161*DY_MENSAL</f>
        <v>2355.47212326935</v>
      </c>
      <c r="H161" s="32" t="n">
        <f aca="false">H160+D161</f>
        <v>164000</v>
      </c>
    </row>
    <row r="162" customFormat="false" ht="15" hidden="false" customHeight="false" outlineLevel="0" collapsed="false">
      <c r="A162" s="33" t="n">
        <v>160</v>
      </c>
      <c r="B162" s="33" t="n">
        <f aca="false">ROUNDUP(A162/12,0)</f>
        <v>14</v>
      </c>
      <c r="C162" s="34" t="n">
        <f aca="false">F161</f>
        <v>336496.017609908</v>
      </c>
      <c r="D162" s="34" t="n">
        <f aca="false">APORTE</f>
        <v>1000</v>
      </c>
      <c r="E162" s="34" t="n">
        <f aca="false">C162*TAXA_MENSAL</f>
        <v>2691.96814087926</v>
      </c>
      <c r="F162" s="34" t="n">
        <f aca="false">C162+D162+E162</f>
        <v>340187.985750787</v>
      </c>
      <c r="G162" s="34" t="n">
        <f aca="false">F162*DY_MENSAL</f>
        <v>2381.31590025551</v>
      </c>
      <c r="H162" s="34" t="n">
        <f aca="false">H161+D162</f>
        <v>165000</v>
      </c>
    </row>
    <row r="163" customFormat="false" ht="15" hidden="false" customHeight="false" outlineLevel="0" collapsed="false">
      <c r="A163" s="31" t="n">
        <v>161</v>
      </c>
      <c r="B163" s="31" t="n">
        <f aca="false">ROUNDUP(A163/12,0)</f>
        <v>14</v>
      </c>
      <c r="C163" s="32" t="n">
        <f aca="false">F162</f>
        <v>340187.985750787</v>
      </c>
      <c r="D163" s="32" t="n">
        <f aca="false">APORTE</f>
        <v>1000</v>
      </c>
      <c r="E163" s="32" t="n">
        <f aca="false">C163*TAXA_MENSAL</f>
        <v>2721.50388600629</v>
      </c>
      <c r="F163" s="32" t="n">
        <f aca="false">C163+D163+E163</f>
        <v>343909.489636793</v>
      </c>
      <c r="G163" s="32" t="n">
        <f aca="false">F163*DY_MENSAL</f>
        <v>2407.36642745755</v>
      </c>
      <c r="H163" s="32" t="n">
        <f aca="false">H162+D163</f>
        <v>166000</v>
      </c>
    </row>
    <row r="164" customFormat="false" ht="15" hidden="false" customHeight="false" outlineLevel="0" collapsed="false">
      <c r="A164" s="33" t="n">
        <v>162</v>
      </c>
      <c r="B164" s="33" t="n">
        <f aca="false">ROUNDUP(A164/12,0)</f>
        <v>14</v>
      </c>
      <c r="C164" s="34" t="n">
        <f aca="false">F163</f>
        <v>343909.489636793</v>
      </c>
      <c r="D164" s="34" t="n">
        <f aca="false">APORTE</f>
        <v>1000</v>
      </c>
      <c r="E164" s="34" t="n">
        <f aca="false">C164*TAXA_MENSAL</f>
        <v>2751.27591709435</v>
      </c>
      <c r="F164" s="34" t="n">
        <f aca="false">C164+D164+E164</f>
        <v>347660.765553887</v>
      </c>
      <c r="G164" s="34" t="n">
        <f aca="false">F164*DY_MENSAL</f>
        <v>2433.62535887721</v>
      </c>
      <c r="H164" s="34" t="n">
        <f aca="false">H163+D164</f>
        <v>167000</v>
      </c>
    </row>
    <row r="165" customFormat="false" ht="15" hidden="false" customHeight="false" outlineLevel="0" collapsed="false">
      <c r="A165" s="31" t="n">
        <v>163</v>
      </c>
      <c r="B165" s="31" t="n">
        <f aca="false">ROUNDUP(A165/12,0)</f>
        <v>14</v>
      </c>
      <c r="C165" s="32" t="n">
        <f aca="false">F164</f>
        <v>347660.765553887</v>
      </c>
      <c r="D165" s="32" t="n">
        <f aca="false">APORTE</f>
        <v>1000</v>
      </c>
      <c r="E165" s="32" t="n">
        <f aca="false">C165*TAXA_MENSAL</f>
        <v>2781.2861244311</v>
      </c>
      <c r="F165" s="32" t="n">
        <f aca="false">C165+D165+E165</f>
        <v>351442.051678319</v>
      </c>
      <c r="G165" s="32" t="n">
        <f aca="false">F165*DY_MENSAL</f>
        <v>2460.09436174823</v>
      </c>
      <c r="H165" s="32" t="n">
        <f aca="false">H164+D165</f>
        <v>168000</v>
      </c>
    </row>
    <row r="166" customFormat="false" ht="15" hidden="false" customHeight="false" outlineLevel="0" collapsed="false">
      <c r="A166" s="33" t="n">
        <v>164</v>
      </c>
      <c r="B166" s="33" t="n">
        <f aca="false">ROUNDUP(A166/12,0)</f>
        <v>14</v>
      </c>
      <c r="C166" s="34" t="n">
        <f aca="false">F165</f>
        <v>351442.051678319</v>
      </c>
      <c r="D166" s="34" t="n">
        <f aca="false">APORTE</f>
        <v>1000</v>
      </c>
      <c r="E166" s="34" t="n">
        <f aca="false">C166*TAXA_MENSAL</f>
        <v>2811.53641342655</v>
      </c>
      <c r="F166" s="34" t="n">
        <f aca="false">C166+D166+E166</f>
        <v>355253.588091745</v>
      </c>
      <c r="G166" s="34" t="n">
        <f aca="false">F166*DY_MENSAL</f>
        <v>2486.77511664222</v>
      </c>
      <c r="H166" s="34" t="n">
        <f aca="false">H165+D166</f>
        <v>169000</v>
      </c>
    </row>
    <row r="167" customFormat="false" ht="15" hidden="false" customHeight="false" outlineLevel="0" collapsed="false">
      <c r="A167" s="31" t="n">
        <v>165</v>
      </c>
      <c r="B167" s="31" t="n">
        <f aca="false">ROUNDUP(A167/12,0)</f>
        <v>14</v>
      </c>
      <c r="C167" s="32" t="n">
        <f aca="false">F166</f>
        <v>355253.588091745</v>
      </c>
      <c r="D167" s="32" t="n">
        <f aca="false">APORTE</f>
        <v>1000</v>
      </c>
      <c r="E167" s="32" t="n">
        <f aca="false">C167*TAXA_MENSAL</f>
        <v>2842.02870473396</v>
      </c>
      <c r="F167" s="32" t="n">
        <f aca="false">C167+D167+E167</f>
        <v>359095.616796479</v>
      </c>
      <c r="G167" s="32" t="n">
        <f aca="false">F167*DY_MENSAL</f>
        <v>2513.66931757535</v>
      </c>
      <c r="H167" s="32" t="n">
        <f aca="false">H166+D167</f>
        <v>170000</v>
      </c>
    </row>
    <row r="168" customFormat="false" ht="15" hidden="false" customHeight="false" outlineLevel="0" collapsed="false">
      <c r="A168" s="33" t="n">
        <v>166</v>
      </c>
      <c r="B168" s="33" t="n">
        <f aca="false">ROUNDUP(A168/12,0)</f>
        <v>14</v>
      </c>
      <c r="C168" s="34" t="n">
        <f aca="false">F167</f>
        <v>359095.616796479</v>
      </c>
      <c r="D168" s="34" t="n">
        <f aca="false">APORTE</f>
        <v>1000</v>
      </c>
      <c r="E168" s="34" t="n">
        <f aca="false">C168*TAXA_MENSAL</f>
        <v>2872.76493437183</v>
      </c>
      <c r="F168" s="34" t="n">
        <f aca="false">C168+D168+E168</f>
        <v>362968.381730851</v>
      </c>
      <c r="G168" s="34" t="n">
        <f aca="false">F168*DY_MENSAL</f>
        <v>2540.77867211596</v>
      </c>
      <c r="H168" s="34" t="n">
        <f aca="false">H167+D168</f>
        <v>171000</v>
      </c>
    </row>
    <row r="169" customFormat="false" ht="15" hidden="false" customHeight="false" outlineLevel="0" collapsed="false">
      <c r="A169" s="31" t="n">
        <v>167</v>
      </c>
      <c r="B169" s="31" t="n">
        <f aca="false">ROUNDUP(A169/12,0)</f>
        <v>14</v>
      </c>
      <c r="C169" s="32" t="n">
        <f aca="false">F168</f>
        <v>362968.381730851</v>
      </c>
      <c r="D169" s="32" t="n">
        <f aca="false">APORTE</f>
        <v>1000</v>
      </c>
      <c r="E169" s="32" t="n">
        <f aca="false">C169*TAXA_MENSAL</f>
        <v>2903.74705384681</v>
      </c>
      <c r="F169" s="32" t="n">
        <f aca="false">C169+D169+E169</f>
        <v>366872.128784698</v>
      </c>
      <c r="G169" s="32" t="n">
        <f aca="false">F169*DY_MENSAL</f>
        <v>2568.10490149288</v>
      </c>
      <c r="H169" s="32" t="n">
        <f aca="false">H168+D169</f>
        <v>172000</v>
      </c>
    </row>
    <row r="170" customFormat="false" ht="15" hidden="false" customHeight="false" outlineLevel="0" collapsed="false">
      <c r="A170" s="33" t="n">
        <v>168</v>
      </c>
      <c r="B170" s="33" t="n">
        <f aca="false">ROUNDUP(A170/12,0)</f>
        <v>14</v>
      </c>
      <c r="C170" s="34" t="n">
        <f aca="false">F169</f>
        <v>366872.128784698</v>
      </c>
      <c r="D170" s="34" t="n">
        <f aca="false">APORTE</f>
        <v>1000</v>
      </c>
      <c r="E170" s="34" t="n">
        <f aca="false">C170*TAXA_MENSAL</f>
        <v>2934.97703027758</v>
      </c>
      <c r="F170" s="34" t="n">
        <f aca="false">C170+D170+E170</f>
        <v>370807.105814975</v>
      </c>
      <c r="G170" s="34" t="n">
        <f aca="false">F170*DY_MENSAL</f>
        <v>2595.64974070483</v>
      </c>
      <c r="H170" s="34" t="n">
        <f aca="false">H169+D170</f>
        <v>173000</v>
      </c>
    </row>
    <row r="171" customFormat="false" ht="15" hidden="false" customHeight="false" outlineLevel="0" collapsed="false">
      <c r="A171" s="31" t="n">
        <v>169</v>
      </c>
      <c r="B171" s="31" t="n">
        <f aca="false">ROUNDUP(A171/12,0)</f>
        <v>15</v>
      </c>
      <c r="C171" s="32" t="n">
        <f aca="false">F170</f>
        <v>370807.105814975</v>
      </c>
      <c r="D171" s="32" t="n">
        <f aca="false">APORTE</f>
        <v>1000</v>
      </c>
      <c r="E171" s="32" t="n">
        <f aca="false">C171*TAXA_MENSAL</f>
        <v>2966.4568465198</v>
      </c>
      <c r="F171" s="32" t="n">
        <f aca="false">C171+D171+E171</f>
        <v>374773.562661495</v>
      </c>
      <c r="G171" s="32" t="n">
        <f aca="false">F171*DY_MENSAL</f>
        <v>2623.41493863047</v>
      </c>
      <c r="H171" s="32" t="n">
        <f aca="false">H170+D171</f>
        <v>174000</v>
      </c>
    </row>
    <row r="172" customFormat="false" ht="15" hidden="false" customHeight="false" outlineLevel="0" collapsed="false">
      <c r="A172" s="33" t="n">
        <v>170</v>
      </c>
      <c r="B172" s="33" t="n">
        <f aca="false">ROUNDUP(A172/12,0)</f>
        <v>15</v>
      </c>
      <c r="C172" s="34" t="n">
        <f aca="false">F171</f>
        <v>374773.562661495</v>
      </c>
      <c r="D172" s="34" t="n">
        <f aca="false">APORTE</f>
        <v>1000</v>
      </c>
      <c r="E172" s="34" t="n">
        <f aca="false">C172*TAXA_MENSAL</f>
        <v>2998.18850129196</v>
      </c>
      <c r="F172" s="34" t="n">
        <f aca="false">C172+D172+E172</f>
        <v>378771.751162787</v>
      </c>
      <c r="G172" s="34" t="n">
        <f aca="false">F172*DY_MENSAL</f>
        <v>2651.40225813951</v>
      </c>
      <c r="H172" s="34" t="n">
        <f aca="false">H171+D172</f>
        <v>175000</v>
      </c>
    </row>
    <row r="173" customFormat="false" ht="15" hidden="false" customHeight="false" outlineLevel="0" collapsed="false">
      <c r="A173" s="31" t="n">
        <v>171</v>
      </c>
      <c r="B173" s="31" t="n">
        <f aca="false">ROUNDUP(A173/12,0)</f>
        <v>15</v>
      </c>
      <c r="C173" s="32" t="n">
        <f aca="false">F172</f>
        <v>378771.751162787</v>
      </c>
      <c r="D173" s="32" t="n">
        <f aca="false">APORTE</f>
        <v>1000</v>
      </c>
      <c r="E173" s="32" t="n">
        <f aca="false">C173*TAXA_MENSAL</f>
        <v>3030.1740093023</v>
      </c>
      <c r="F173" s="32" t="n">
        <f aca="false">C173+D173+E173</f>
        <v>382801.925172089</v>
      </c>
      <c r="G173" s="32" t="n">
        <f aca="false">F173*DY_MENSAL</f>
        <v>2679.61347620463</v>
      </c>
      <c r="H173" s="32" t="n">
        <f aca="false">H172+D173</f>
        <v>176000</v>
      </c>
    </row>
    <row r="174" customFormat="false" ht="15" hidden="false" customHeight="false" outlineLevel="0" collapsed="false">
      <c r="A174" s="33" t="n">
        <v>172</v>
      </c>
      <c r="B174" s="33" t="n">
        <f aca="false">ROUNDUP(A174/12,0)</f>
        <v>15</v>
      </c>
      <c r="C174" s="34" t="n">
        <f aca="false">F173</f>
        <v>382801.925172089</v>
      </c>
      <c r="D174" s="34" t="n">
        <f aca="false">APORTE</f>
        <v>1000</v>
      </c>
      <c r="E174" s="34" t="n">
        <f aca="false">C174*TAXA_MENSAL</f>
        <v>3062.41540137671</v>
      </c>
      <c r="F174" s="34" t="n">
        <f aca="false">C174+D174+E174</f>
        <v>386864.340573466</v>
      </c>
      <c r="G174" s="34" t="n">
        <f aca="false">F174*DY_MENSAL</f>
        <v>2708.05038401426</v>
      </c>
      <c r="H174" s="34" t="n">
        <f aca="false">H173+D174</f>
        <v>177000</v>
      </c>
    </row>
    <row r="175" customFormat="false" ht="15" hidden="false" customHeight="false" outlineLevel="0" collapsed="false">
      <c r="A175" s="31" t="n">
        <v>173</v>
      </c>
      <c r="B175" s="31" t="n">
        <f aca="false">ROUNDUP(A175/12,0)</f>
        <v>15</v>
      </c>
      <c r="C175" s="32" t="n">
        <f aca="false">F174</f>
        <v>386864.340573466</v>
      </c>
      <c r="D175" s="32" t="n">
        <f aca="false">APORTE</f>
        <v>1000</v>
      </c>
      <c r="E175" s="32" t="n">
        <f aca="false">C175*TAXA_MENSAL</f>
        <v>3094.91472458773</v>
      </c>
      <c r="F175" s="32" t="n">
        <f aca="false">C175+D175+E175</f>
        <v>390959.255298054</v>
      </c>
      <c r="G175" s="32" t="n">
        <f aca="false">F175*DY_MENSAL</f>
        <v>2736.71478708638</v>
      </c>
      <c r="H175" s="32" t="n">
        <f aca="false">H174+D175</f>
        <v>178000</v>
      </c>
    </row>
    <row r="176" customFormat="false" ht="15" hidden="false" customHeight="false" outlineLevel="0" collapsed="false">
      <c r="A176" s="33" t="n">
        <v>174</v>
      </c>
      <c r="B176" s="33" t="n">
        <f aca="false">ROUNDUP(A176/12,0)</f>
        <v>15</v>
      </c>
      <c r="C176" s="34" t="n">
        <f aca="false">F175</f>
        <v>390959.255298054</v>
      </c>
      <c r="D176" s="34" t="n">
        <f aca="false">APORTE</f>
        <v>1000</v>
      </c>
      <c r="E176" s="34" t="n">
        <f aca="false">C176*TAXA_MENSAL</f>
        <v>3127.67404238443</v>
      </c>
      <c r="F176" s="34" t="n">
        <f aca="false">C176+D176+E176</f>
        <v>395086.929340438</v>
      </c>
      <c r="G176" s="34" t="n">
        <f aca="false">F176*DY_MENSAL</f>
        <v>2765.60850538307</v>
      </c>
      <c r="H176" s="34" t="n">
        <f aca="false">H175+D176</f>
        <v>179000</v>
      </c>
    </row>
    <row r="177" customFormat="false" ht="15" hidden="false" customHeight="false" outlineLevel="0" collapsed="false">
      <c r="A177" s="31" t="n">
        <v>175</v>
      </c>
      <c r="B177" s="31" t="n">
        <f aca="false">ROUNDUP(A177/12,0)</f>
        <v>15</v>
      </c>
      <c r="C177" s="32" t="n">
        <f aca="false">F176</f>
        <v>395086.929340438</v>
      </c>
      <c r="D177" s="32" t="n">
        <f aca="false">APORTE</f>
        <v>1000</v>
      </c>
      <c r="E177" s="32" t="n">
        <f aca="false">C177*TAXA_MENSAL</f>
        <v>3160.69543472351</v>
      </c>
      <c r="F177" s="32" t="n">
        <f aca="false">C177+D177+E177</f>
        <v>399247.624775162</v>
      </c>
      <c r="G177" s="32" t="n">
        <f aca="false">F177*DY_MENSAL</f>
        <v>2794.73337342613</v>
      </c>
      <c r="H177" s="32" t="n">
        <f aca="false">H176+D177</f>
        <v>180000</v>
      </c>
    </row>
    <row r="178" customFormat="false" ht="15" hidden="false" customHeight="false" outlineLevel="0" collapsed="false">
      <c r="A178" s="33" t="n">
        <v>176</v>
      </c>
      <c r="B178" s="33" t="n">
        <f aca="false">ROUNDUP(A178/12,0)</f>
        <v>15</v>
      </c>
      <c r="C178" s="34" t="n">
        <f aca="false">F177</f>
        <v>399247.624775162</v>
      </c>
      <c r="D178" s="34" t="n">
        <f aca="false">APORTE</f>
        <v>1000</v>
      </c>
      <c r="E178" s="34" t="n">
        <f aca="false">C178*TAXA_MENSAL</f>
        <v>3193.98099820129</v>
      </c>
      <c r="F178" s="34" t="n">
        <f aca="false">C178+D178+E178</f>
        <v>403441.605773363</v>
      </c>
      <c r="G178" s="34" t="n">
        <f aca="false">F178*DY_MENSAL</f>
        <v>2824.09124041354</v>
      </c>
      <c r="H178" s="34" t="n">
        <f aca="false">H177+D178</f>
        <v>181000</v>
      </c>
    </row>
    <row r="179" customFormat="false" ht="15" hidden="false" customHeight="false" outlineLevel="0" collapsed="false">
      <c r="A179" s="31" t="n">
        <v>177</v>
      </c>
      <c r="B179" s="31" t="n">
        <f aca="false">ROUNDUP(A179/12,0)</f>
        <v>15</v>
      </c>
      <c r="C179" s="32" t="n">
        <f aca="false">F178</f>
        <v>403441.605773363</v>
      </c>
      <c r="D179" s="32" t="n">
        <f aca="false">APORTE</f>
        <v>1000</v>
      </c>
      <c r="E179" s="32" t="n">
        <f aca="false">C179*TAXA_MENSAL</f>
        <v>3227.5328461869</v>
      </c>
      <c r="F179" s="32" t="n">
        <f aca="false">C179+D179+E179</f>
        <v>407669.13861955</v>
      </c>
      <c r="G179" s="32" t="n">
        <f aca="false">F179*DY_MENSAL</f>
        <v>2853.68397033685</v>
      </c>
      <c r="H179" s="32" t="n">
        <f aca="false">H178+D179</f>
        <v>182000</v>
      </c>
    </row>
    <row r="180" customFormat="false" ht="15" hidden="false" customHeight="false" outlineLevel="0" collapsed="false">
      <c r="A180" s="33" t="n">
        <v>178</v>
      </c>
      <c r="B180" s="33" t="n">
        <f aca="false">ROUNDUP(A180/12,0)</f>
        <v>15</v>
      </c>
      <c r="C180" s="34" t="n">
        <f aca="false">F179</f>
        <v>407669.13861955</v>
      </c>
      <c r="D180" s="34" t="n">
        <f aca="false">APORTE</f>
        <v>1000</v>
      </c>
      <c r="E180" s="34" t="n">
        <f aca="false">C180*TAXA_MENSAL</f>
        <v>3261.3531089564</v>
      </c>
      <c r="F180" s="34" t="n">
        <f aca="false">C180+D180+E180</f>
        <v>411930.491728506</v>
      </c>
      <c r="G180" s="34" t="n">
        <f aca="false">F180*DY_MENSAL</f>
        <v>2883.51344209954</v>
      </c>
      <c r="H180" s="34" t="n">
        <f aca="false">H179+D180</f>
        <v>183000</v>
      </c>
    </row>
    <row r="181" customFormat="false" ht="15" hidden="false" customHeight="false" outlineLevel="0" collapsed="false">
      <c r="A181" s="31" t="n">
        <v>179</v>
      </c>
      <c r="B181" s="31" t="n">
        <f aca="false">ROUNDUP(A181/12,0)</f>
        <v>15</v>
      </c>
      <c r="C181" s="32" t="n">
        <f aca="false">F180</f>
        <v>411930.491728506</v>
      </c>
      <c r="D181" s="32" t="n">
        <f aca="false">APORTE</f>
        <v>1000</v>
      </c>
      <c r="E181" s="32" t="n">
        <f aca="false">C181*TAXA_MENSAL</f>
        <v>3295.44393382805</v>
      </c>
      <c r="F181" s="32" t="n">
        <f aca="false">C181+D181+E181</f>
        <v>416225.935662334</v>
      </c>
      <c r="G181" s="32" t="n">
        <f aca="false">F181*DY_MENSAL</f>
        <v>2913.58154963634</v>
      </c>
      <c r="H181" s="32" t="n">
        <f aca="false">H180+D181</f>
        <v>184000</v>
      </c>
    </row>
    <row r="182" customFormat="false" ht="15" hidden="false" customHeight="false" outlineLevel="0" collapsed="false">
      <c r="A182" s="33" t="n">
        <v>180</v>
      </c>
      <c r="B182" s="33" t="n">
        <f aca="false">ROUNDUP(A182/12,0)</f>
        <v>15</v>
      </c>
      <c r="C182" s="34" t="n">
        <f aca="false">F181</f>
        <v>416225.935662334</v>
      </c>
      <c r="D182" s="34" t="n">
        <f aca="false">APORTE</f>
        <v>1000</v>
      </c>
      <c r="E182" s="34" t="n">
        <f aca="false">C182*TAXA_MENSAL</f>
        <v>3329.80748529868</v>
      </c>
      <c r="F182" s="34" t="n">
        <f aca="false">C182+D182+E182</f>
        <v>420555.743147633</v>
      </c>
      <c r="G182" s="34" t="n">
        <f aca="false">F182*DY_MENSAL</f>
        <v>2943.89020203343</v>
      </c>
      <c r="H182" s="34" t="n">
        <f aca="false">H181+D182</f>
        <v>185000</v>
      </c>
    </row>
    <row r="183" customFormat="false" ht="15" hidden="false" customHeight="false" outlineLevel="0" collapsed="false">
      <c r="A183" s="31" t="n">
        <v>181</v>
      </c>
      <c r="B183" s="31" t="n">
        <f aca="false">ROUNDUP(A183/12,0)</f>
        <v>16</v>
      </c>
      <c r="C183" s="32" t="n">
        <f aca="false">F182</f>
        <v>420555.743147633</v>
      </c>
      <c r="D183" s="32" t="n">
        <f aca="false">APORTE</f>
        <v>1000</v>
      </c>
      <c r="E183" s="32" t="n">
        <f aca="false">C183*TAXA_MENSAL</f>
        <v>3364.44594518106</v>
      </c>
      <c r="F183" s="32" t="n">
        <f aca="false">C183+D183+E183</f>
        <v>424920.189092814</v>
      </c>
      <c r="G183" s="32" t="n">
        <f aca="false">F183*DY_MENSAL</f>
        <v>2974.4413236497</v>
      </c>
      <c r="H183" s="32" t="n">
        <f aca="false">H182+D183</f>
        <v>186000</v>
      </c>
    </row>
    <row r="184" customFormat="false" ht="15" hidden="false" customHeight="false" outlineLevel="0" collapsed="false">
      <c r="A184" s="33" t="n">
        <v>182</v>
      </c>
      <c r="B184" s="33" t="n">
        <f aca="false">ROUNDUP(A184/12,0)</f>
        <v>16</v>
      </c>
      <c r="C184" s="34" t="n">
        <f aca="false">F183</f>
        <v>424920.189092814</v>
      </c>
      <c r="D184" s="34" t="n">
        <f aca="false">APORTE</f>
        <v>1000</v>
      </c>
      <c r="E184" s="34" t="n">
        <f aca="false">C184*TAXA_MENSAL</f>
        <v>3399.36151274251</v>
      </c>
      <c r="F184" s="34" t="n">
        <f aca="false">C184+D184+E184</f>
        <v>429319.550605557</v>
      </c>
      <c r="G184" s="34" t="n">
        <f aca="false">F184*DY_MENSAL</f>
        <v>3005.2368542389</v>
      </c>
      <c r="H184" s="34" t="n">
        <f aca="false">H183+D184</f>
        <v>187000</v>
      </c>
    </row>
    <row r="185" customFormat="false" ht="15" hidden="false" customHeight="false" outlineLevel="0" collapsed="false">
      <c r="A185" s="31" t="n">
        <v>183</v>
      </c>
      <c r="B185" s="31" t="n">
        <f aca="false">ROUNDUP(A185/12,0)</f>
        <v>16</v>
      </c>
      <c r="C185" s="32" t="n">
        <f aca="false">F184</f>
        <v>429319.550605557</v>
      </c>
      <c r="D185" s="32" t="n">
        <f aca="false">APORTE</f>
        <v>1000</v>
      </c>
      <c r="E185" s="32" t="n">
        <f aca="false">C185*TAXA_MENSAL</f>
        <v>3434.55640484445</v>
      </c>
      <c r="F185" s="32" t="n">
        <f aca="false">C185+D185+E185</f>
        <v>433754.107010401</v>
      </c>
      <c r="G185" s="32" t="n">
        <f aca="false">F185*DY_MENSAL</f>
        <v>3036.27874907281</v>
      </c>
      <c r="H185" s="32" t="n">
        <f aca="false">H184+D185</f>
        <v>188000</v>
      </c>
    </row>
    <row r="186" customFormat="false" ht="15" hidden="false" customHeight="false" outlineLevel="0" collapsed="false">
      <c r="A186" s="33" t="n">
        <v>184</v>
      </c>
      <c r="B186" s="33" t="n">
        <f aca="false">ROUNDUP(A186/12,0)</f>
        <v>16</v>
      </c>
      <c r="C186" s="34" t="n">
        <f aca="false">F185</f>
        <v>433754.107010401</v>
      </c>
      <c r="D186" s="34" t="n">
        <f aca="false">APORTE</f>
        <v>1000</v>
      </c>
      <c r="E186" s="34" t="n">
        <f aca="false">C186*TAXA_MENSAL</f>
        <v>3470.03285608321</v>
      </c>
      <c r="F186" s="34" t="n">
        <f aca="false">C186+D186+E186</f>
        <v>438224.139866484</v>
      </c>
      <c r="G186" s="34" t="n">
        <f aca="false">F186*DY_MENSAL</f>
        <v>3067.56897906539</v>
      </c>
      <c r="H186" s="34" t="n">
        <f aca="false">H185+D186</f>
        <v>189000</v>
      </c>
    </row>
    <row r="187" customFormat="false" ht="15" hidden="false" customHeight="false" outlineLevel="0" collapsed="false">
      <c r="A187" s="31" t="n">
        <v>185</v>
      </c>
      <c r="B187" s="31" t="n">
        <f aca="false">ROUNDUP(A187/12,0)</f>
        <v>16</v>
      </c>
      <c r="C187" s="32" t="n">
        <f aca="false">F186</f>
        <v>438224.139866484</v>
      </c>
      <c r="D187" s="32" t="n">
        <f aca="false">APORTE</f>
        <v>1000</v>
      </c>
      <c r="E187" s="32" t="n">
        <f aca="false">C187*TAXA_MENSAL</f>
        <v>3505.79311893187</v>
      </c>
      <c r="F187" s="32" t="n">
        <f aca="false">C187+D187+E187</f>
        <v>442729.932985416</v>
      </c>
      <c r="G187" s="32" t="n">
        <f aca="false">F187*DY_MENSAL</f>
        <v>3099.10953089791</v>
      </c>
      <c r="H187" s="32" t="n">
        <f aca="false">H186+D187</f>
        <v>190000</v>
      </c>
    </row>
    <row r="188" customFormat="false" ht="15" hidden="false" customHeight="false" outlineLevel="0" collapsed="false">
      <c r="A188" s="33" t="n">
        <v>186</v>
      </c>
      <c r="B188" s="33" t="n">
        <f aca="false">ROUNDUP(A188/12,0)</f>
        <v>16</v>
      </c>
      <c r="C188" s="34" t="n">
        <f aca="false">F187</f>
        <v>442729.932985416</v>
      </c>
      <c r="D188" s="34" t="n">
        <f aca="false">APORTE</f>
        <v>1000</v>
      </c>
      <c r="E188" s="34" t="n">
        <f aca="false">C188*TAXA_MENSAL</f>
        <v>3541.83946388333</v>
      </c>
      <c r="F188" s="34" t="n">
        <f aca="false">C188+D188+E188</f>
        <v>447271.772449299</v>
      </c>
      <c r="G188" s="34" t="n">
        <f aca="false">F188*DY_MENSAL</f>
        <v>3130.9024071451</v>
      </c>
      <c r="H188" s="34" t="n">
        <f aca="false">H187+D188</f>
        <v>191000</v>
      </c>
    </row>
    <row r="189" customFormat="false" ht="15" hidden="false" customHeight="false" outlineLevel="0" collapsed="false">
      <c r="A189" s="31" t="n">
        <v>187</v>
      </c>
      <c r="B189" s="31" t="n">
        <f aca="false">ROUNDUP(A189/12,0)</f>
        <v>16</v>
      </c>
      <c r="C189" s="32" t="n">
        <f aca="false">F188</f>
        <v>447271.772449299</v>
      </c>
      <c r="D189" s="32" t="n">
        <f aca="false">APORTE</f>
        <v>1000</v>
      </c>
      <c r="E189" s="32" t="n">
        <f aca="false">C189*TAXA_MENSAL</f>
        <v>3578.1741795944</v>
      </c>
      <c r="F189" s="32" t="n">
        <f aca="false">C189+D189+E189</f>
        <v>451849.946628894</v>
      </c>
      <c r="G189" s="32" t="n">
        <f aca="false">F189*DY_MENSAL</f>
        <v>3162.94962640226</v>
      </c>
      <c r="H189" s="32" t="n">
        <f aca="false">H188+D189</f>
        <v>192000</v>
      </c>
    </row>
    <row r="190" customFormat="false" ht="15" hidden="false" customHeight="false" outlineLevel="0" collapsed="false">
      <c r="A190" s="33" t="n">
        <v>188</v>
      </c>
      <c r="B190" s="33" t="n">
        <f aca="false">ROUNDUP(A190/12,0)</f>
        <v>16</v>
      </c>
      <c r="C190" s="34" t="n">
        <f aca="false">F189</f>
        <v>451849.946628894</v>
      </c>
      <c r="D190" s="34" t="n">
        <f aca="false">APORTE</f>
        <v>1000</v>
      </c>
      <c r="E190" s="34" t="n">
        <f aca="false">C190*TAXA_MENSAL</f>
        <v>3614.79957303115</v>
      </c>
      <c r="F190" s="34" t="n">
        <f aca="false">C190+D190+E190</f>
        <v>456464.746201925</v>
      </c>
      <c r="G190" s="34" t="n">
        <f aca="false">F190*DY_MENSAL</f>
        <v>3195.25322341348</v>
      </c>
      <c r="H190" s="34" t="n">
        <f aca="false">H189+D190</f>
        <v>193000</v>
      </c>
    </row>
    <row r="191" customFormat="false" ht="15" hidden="false" customHeight="false" outlineLevel="0" collapsed="false">
      <c r="A191" s="31" t="n">
        <v>189</v>
      </c>
      <c r="B191" s="31" t="n">
        <f aca="false">ROUNDUP(A191/12,0)</f>
        <v>16</v>
      </c>
      <c r="C191" s="32" t="n">
        <f aca="false">F190</f>
        <v>456464.746201925</v>
      </c>
      <c r="D191" s="32" t="n">
        <f aca="false">APORTE</f>
        <v>1000</v>
      </c>
      <c r="E191" s="32" t="n">
        <f aca="false">C191*TAXA_MENSAL</f>
        <v>3651.7179696154</v>
      </c>
      <c r="F191" s="32" t="n">
        <f aca="false">C191+D191+E191</f>
        <v>461116.46417154</v>
      </c>
      <c r="G191" s="32" t="n">
        <f aca="false">F191*DY_MENSAL</f>
        <v>3227.81524920078</v>
      </c>
      <c r="H191" s="32" t="n">
        <f aca="false">H190+D191</f>
        <v>194000</v>
      </c>
    </row>
    <row r="192" customFormat="false" ht="15" hidden="false" customHeight="false" outlineLevel="0" collapsed="false">
      <c r="A192" s="33" t="n">
        <v>190</v>
      </c>
      <c r="B192" s="33" t="n">
        <f aca="false">ROUNDUP(A192/12,0)</f>
        <v>16</v>
      </c>
      <c r="C192" s="34" t="n">
        <f aca="false">F191</f>
        <v>461116.46417154</v>
      </c>
      <c r="D192" s="34" t="n">
        <f aca="false">APORTE</f>
        <v>1000</v>
      </c>
      <c r="E192" s="34" t="n">
        <f aca="false">C192*TAXA_MENSAL</f>
        <v>3688.93171337232</v>
      </c>
      <c r="F192" s="34" t="n">
        <f aca="false">C192+D192+E192</f>
        <v>465805.395884913</v>
      </c>
      <c r="G192" s="34" t="n">
        <f aca="false">F192*DY_MENSAL</f>
        <v>3260.63777119439</v>
      </c>
      <c r="H192" s="34" t="n">
        <f aca="false">H191+D192</f>
        <v>195000</v>
      </c>
    </row>
    <row r="193" customFormat="false" ht="15" hidden="false" customHeight="false" outlineLevel="0" collapsed="false">
      <c r="A193" s="31" t="n">
        <v>191</v>
      </c>
      <c r="B193" s="31" t="n">
        <f aca="false">ROUNDUP(A193/12,0)</f>
        <v>16</v>
      </c>
      <c r="C193" s="32" t="n">
        <f aca="false">F192</f>
        <v>465805.395884913</v>
      </c>
      <c r="D193" s="32" t="n">
        <f aca="false">APORTE</f>
        <v>1000</v>
      </c>
      <c r="E193" s="32" t="n">
        <f aca="false">C193*TAXA_MENSAL</f>
        <v>3726.4431670793</v>
      </c>
      <c r="F193" s="32" t="n">
        <f aca="false">C193+D193+E193</f>
        <v>470531.839051992</v>
      </c>
      <c r="G193" s="32" t="n">
        <f aca="false">F193*DY_MENSAL</f>
        <v>3293.72287336394</v>
      </c>
      <c r="H193" s="32" t="n">
        <f aca="false">H192+D193</f>
        <v>196000</v>
      </c>
    </row>
    <row r="194" customFormat="false" ht="15" hidden="false" customHeight="false" outlineLevel="0" collapsed="false">
      <c r="A194" s="33" t="n">
        <v>192</v>
      </c>
      <c r="B194" s="33" t="n">
        <f aca="false">ROUNDUP(A194/12,0)</f>
        <v>16</v>
      </c>
      <c r="C194" s="34" t="n">
        <f aca="false">F193</f>
        <v>470531.839051992</v>
      </c>
      <c r="D194" s="34" t="n">
        <f aca="false">APORTE</f>
        <v>1000</v>
      </c>
      <c r="E194" s="34" t="n">
        <f aca="false">C194*TAXA_MENSAL</f>
        <v>3764.25471241594</v>
      </c>
      <c r="F194" s="34" t="n">
        <f aca="false">C194+D194+E194</f>
        <v>475296.093764408</v>
      </c>
      <c r="G194" s="34" t="n">
        <f aca="false">F194*DY_MENSAL</f>
        <v>3327.07265635086</v>
      </c>
      <c r="H194" s="34" t="n">
        <f aca="false">H193+D194</f>
        <v>197000</v>
      </c>
    </row>
    <row r="195" customFormat="false" ht="15" hidden="false" customHeight="false" outlineLevel="0" collapsed="false">
      <c r="A195" s="31" t="n">
        <v>193</v>
      </c>
      <c r="B195" s="31" t="n">
        <f aca="false">ROUNDUP(A195/12,0)</f>
        <v>17</v>
      </c>
      <c r="C195" s="32" t="n">
        <f aca="false">F194</f>
        <v>475296.093764408</v>
      </c>
      <c r="D195" s="32" t="n">
        <f aca="false">APORTE</f>
        <v>1000</v>
      </c>
      <c r="E195" s="32" t="n">
        <f aca="false">C195*TAXA_MENSAL</f>
        <v>3802.36875011526</v>
      </c>
      <c r="F195" s="32" t="n">
        <f aca="false">C195+D195+E195</f>
        <v>480098.462514523</v>
      </c>
      <c r="G195" s="32" t="n">
        <f aca="false">F195*DY_MENSAL</f>
        <v>3360.68923760166</v>
      </c>
      <c r="H195" s="32" t="n">
        <f aca="false">H194+D195</f>
        <v>198000</v>
      </c>
    </row>
    <row r="196" customFormat="false" ht="15" hidden="false" customHeight="false" outlineLevel="0" collapsed="false">
      <c r="A196" s="33" t="n">
        <v>194</v>
      </c>
      <c r="B196" s="33" t="n">
        <f aca="false">ROUNDUP(A196/12,0)</f>
        <v>17</v>
      </c>
      <c r="C196" s="34" t="n">
        <f aca="false">F195</f>
        <v>480098.462514523</v>
      </c>
      <c r="D196" s="34" t="n">
        <f aca="false">APORTE</f>
        <v>1000</v>
      </c>
      <c r="E196" s="34" t="n">
        <f aca="false">C196*TAXA_MENSAL</f>
        <v>3840.78770011619</v>
      </c>
      <c r="F196" s="34" t="n">
        <f aca="false">C196+D196+E196</f>
        <v>484939.250214639</v>
      </c>
      <c r="G196" s="34" t="n">
        <f aca="false">F196*DY_MENSAL</f>
        <v>3394.57475150248</v>
      </c>
      <c r="H196" s="34" t="n">
        <f aca="false">H195+D196</f>
        <v>199000</v>
      </c>
    </row>
    <row r="197" customFormat="false" ht="15" hidden="false" customHeight="false" outlineLevel="0" collapsed="false">
      <c r="A197" s="31" t="n">
        <v>195</v>
      </c>
      <c r="B197" s="31" t="n">
        <f aca="false">ROUNDUP(A197/12,0)</f>
        <v>17</v>
      </c>
      <c r="C197" s="32" t="n">
        <f aca="false">F196</f>
        <v>484939.250214639</v>
      </c>
      <c r="D197" s="32" t="n">
        <f aca="false">APORTE</f>
        <v>1000</v>
      </c>
      <c r="E197" s="32" t="n">
        <f aca="false">C197*TAXA_MENSAL</f>
        <v>3879.51400171711</v>
      </c>
      <c r="F197" s="32" t="n">
        <f aca="false">C197+D197+E197</f>
        <v>489818.764216356</v>
      </c>
      <c r="G197" s="32" t="n">
        <f aca="false">F197*DY_MENSAL</f>
        <v>3428.7313495145</v>
      </c>
      <c r="H197" s="32" t="n">
        <f aca="false">H196+D197</f>
        <v>200000</v>
      </c>
    </row>
    <row r="198" customFormat="false" ht="15" hidden="false" customHeight="false" outlineLevel="0" collapsed="false">
      <c r="A198" s="33" t="n">
        <v>196</v>
      </c>
      <c r="B198" s="33" t="n">
        <f aca="false">ROUNDUP(A198/12,0)</f>
        <v>17</v>
      </c>
      <c r="C198" s="34" t="n">
        <f aca="false">F197</f>
        <v>489818.764216356</v>
      </c>
      <c r="D198" s="34" t="n">
        <f aca="false">APORTE</f>
        <v>1000</v>
      </c>
      <c r="E198" s="34" t="n">
        <f aca="false">C198*TAXA_MENSAL</f>
        <v>3918.55011373085</v>
      </c>
      <c r="F198" s="34" t="n">
        <f aca="false">C198+D198+E198</f>
        <v>494737.314330087</v>
      </c>
      <c r="G198" s="34" t="n">
        <f aca="false">F198*DY_MENSAL</f>
        <v>3463.16120031061</v>
      </c>
      <c r="H198" s="34" t="n">
        <f aca="false">H197+D198</f>
        <v>201000</v>
      </c>
    </row>
    <row r="199" customFormat="false" ht="15" hidden="false" customHeight="false" outlineLevel="0" collapsed="false">
      <c r="A199" s="31" t="n">
        <v>197</v>
      </c>
      <c r="B199" s="31" t="n">
        <f aca="false">ROUNDUP(A199/12,0)</f>
        <v>17</v>
      </c>
      <c r="C199" s="32" t="n">
        <f aca="false">F198</f>
        <v>494737.314330087</v>
      </c>
      <c r="D199" s="32" t="n">
        <f aca="false">APORTE</f>
        <v>1000</v>
      </c>
      <c r="E199" s="32" t="n">
        <f aca="false">C199*TAXA_MENSAL</f>
        <v>3957.8985146407</v>
      </c>
      <c r="F199" s="32" t="n">
        <f aca="false">C199+D199+E199</f>
        <v>499695.212844728</v>
      </c>
      <c r="G199" s="32" t="n">
        <f aca="false">F199*DY_MENSAL</f>
        <v>3497.8664899131</v>
      </c>
      <c r="H199" s="32" t="n">
        <f aca="false">H198+D199</f>
        <v>202000</v>
      </c>
    </row>
    <row r="200" customFormat="false" ht="15" hidden="false" customHeight="false" outlineLevel="0" collapsed="false">
      <c r="A200" s="33" t="n">
        <v>198</v>
      </c>
      <c r="B200" s="33" t="n">
        <f aca="false">ROUNDUP(A200/12,0)</f>
        <v>17</v>
      </c>
      <c r="C200" s="34" t="n">
        <f aca="false">F199</f>
        <v>499695.212844728</v>
      </c>
      <c r="D200" s="34" t="n">
        <f aca="false">APORTE</f>
        <v>1000</v>
      </c>
      <c r="E200" s="34" t="n">
        <f aca="false">C200*TAXA_MENSAL</f>
        <v>3997.56170275782</v>
      </c>
      <c r="F200" s="34" t="n">
        <f aca="false">C200+D200+E200</f>
        <v>504692.774547486</v>
      </c>
      <c r="G200" s="34" t="n">
        <f aca="false">F200*DY_MENSAL</f>
        <v>3532.8494218324</v>
      </c>
      <c r="H200" s="34" t="n">
        <f aca="false">H199+D200</f>
        <v>203000</v>
      </c>
    </row>
    <row r="201" customFormat="false" ht="15" hidden="false" customHeight="false" outlineLevel="0" collapsed="false">
      <c r="A201" s="31" t="n">
        <v>199</v>
      </c>
      <c r="B201" s="31" t="n">
        <f aca="false">ROUNDUP(A201/12,0)</f>
        <v>17</v>
      </c>
      <c r="C201" s="32" t="n">
        <f aca="false">F200</f>
        <v>504692.774547486</v>
      </c>
      <c r="D201" s="32" t="n">
        <f aca="false">APORTE</f>
        <v>1000</v>
      </c>
      <c r="E201" s="32" t="n">
        <f aca="false">C201*TAXA_MENSAL</f>
        <v>4037.54219637989</v>
      </c>
      <c r="F201" s="32" t="n">
        <f aca="false">C201+D201+E201</f>
        <v>509730.316743866</v>
      </c>
      <c r="G201" s="32" t="n">
        <f aca="false">F201*DY_MENSAL</f>
        <v>3568.11221720706</v>
      </c>
      <c r="H201" s="32" t="n">
        <f aca="false">H200+D201</f>
        <v>204000</v>
      </c>
    </row>
    <row r="202" customFormat="false" ht="15" hidden="false" customHeight="false" outlineLevel="0" collapsed="false">
      <c r="A202" s="33" t="n">
        <v>200</v>
      </c>
      <c r="B202" s="33" t="n">
        <f aca="false">ROUNDUP(A202/12,0)</f>
        <v>17</v>
      </c>
      <c r="C202" s="34" t="n">
        <f aca="false">F201</f>
        <v>509730.316743866</v>
      </c>
      <c r="D202" s="34" t="n">
        <f aca="false">APORTE</f>
        <v>1000</v>
      </c>
      <c r="E202" s="34" t="n">
        <f aca="false">C202*TAXA_MENSAL</f>
        <v>4077.84253395093</v>
      </c>
      <c r="F202" s="34" t="n">
        <f aca="false">C202+D202+E202</f>
        <v>514808.159277817</v>
      </c>
      <c r="G202" s="34" t="n">
        <f aca="false">F202*DY_MENSAL</f>
        <v>3603.65711494472</v>
      </c>
      <c r="H202" s="34" t="n">
        <f aca="false">H201+D202</f>
        <v>205000</v>
      </c>
    </row>
    <row r="203" customFormat="false" ht="15" hidden="false" customHeight="false" outlineLevel="0" collapsed="false">
      <c r="A203" s="31" t="n">
        <v>201</v>
      </c>
      <c r="B203" s="31" t="n">
        <f aca="false">ROUNDUP(A203/12,0)</f>
        <v>17</v>
      </c>
      <c r="C203" s="32" t="n">
        <f aca="false">F202</f>
        <v>514808.159277817</v>
      </c>
      <c r="D203" s="32" t="n">
        <f aca="false">APORTE</f>
        <v>1000</v>
      </c>
      <c r="E203" s="32" t="n">
        <f aca="false">C203*TAXA_MENSAL</f>
        <v>4118.46527422253</v>
      </c>
      <c r="F203" s="32" t="n">
        <f aca="false">C203+D203+E203</f>
        <v>519926.624552039</v>
      </c>
      <c r="G203" s="32" t="n">
        <f aca="false">F203*DY_MENSAL</f>
        <v>3639.48637186427</v>
      </c>
      <c r="H203" s="32" t="n">
        <f aca="false">H202+D203</f>
        <v>206000</v>
      </c>
    </row>
    <row r="204" customFormat="false" ht="15" hidden="false" customHeight="false" outlineLevel="0" collapsed="false">
      <c r="A204" s="33" t="n">
        <v>202</v>
      </c>
      <c r="B204" s="33" t="n">
        <f aca="false">ROUNDUP(A204/12,0)</f>
        <v>17</v>
      </c>
      <c r="C204" s="34" t="n">
        <f aca="false">F203</f>
        <v>519926.624552039</v>
      </c>
      <c r="D204" s="34" t="n">
        <f aca="false">APORTE</f>
        <v>1000</v>
      </c>
      <c r="E204" s="34" t="n">
        <f aca="false">C204*TAXA_MENSAL</f>
        <v>4159.41299641631</v>
      </c>
      <c r="F204" s="34" t="n">
        <f aca="false">C204+D204+E204</f>
        <v>525086.037548455</v>
      </c>
      <c r="G204" s="34" t="n">
        <f aca="false">F204*DY_MENSAL</f>
        <v>3675.60226283919</v>
      </c>
      <c r="H204" s="34" t="n">
        <f aca="false">H203+D204</f>
        <v>207000</v>
      </c>
    </row>
    <row r="205" customFormat="false" ht="15" hidden="false" customHeight="false" outlineLevel="0" collapsed="false">
      <c r="A205" s="31" t="n">
        <v>203</v>
      </c>
      <c r="B205" s="31" t="n">
        <f aca="false">ROUNDUP(A205/12,0)</f>
        <v>17</v>
      </c>
      <c r="C205" s="32" t="n">
        <f aca="false">F204</f>
        <v>525086.037548455</v>
      </c>
      <c r="D205" s="32" t="n">
        <f aca="false">APORTE</f>
        <v>1000</v>
      </c>
      <c r="E205" s="32" t="n">
        <f aca="false">C205*TAXA_MENSAL</f>
        <v>4200.68830038764</v>
      </c>
      <c r="F205" s="32" t="n">
        <f aca="false">C205+D205+E205</f>
        <v>530286.725848843</v>
      </c>
      <c r="G205" s="32" t="n">
        <f aca="false">F205*DY_MENSAL</f>
        <v>3712.0070809419</v>
      </c>
      <c r="H205" s="32" t="n">
        <f aca="false">H204+D205</f>
        <v>208000</v>
      </c>
    </row>
    <row r="206" customFormat="false" ht="15" hidden="false" customHeight="false" outlineLevel="0" collapsed="false">
      <c r="A206" s="33" t="n">
        <v>204</v>
      </c>
      <c r="B206" s="33" t="n">
        <f aca="false">ROUNDUP(A206/12,0)</f>
        <v>17</v>
      </c>
      <c r="C206" s="34" t="n">
        <f aca="false">F205</f>
        <v>530286.725848843</v>
      </c>
      <c r="D206" s="34" t="n">
        <f aca="false">APORTE</f>
        <v>1000</v>
      </c>
      <c r="E206" s="34" t="n">
        <f aca="false">C206*TAXA_MENSAL</f>
        <v>4242.29380679075</v>
      </c>
      <c r="F206" s="34" t="n">
        <f aca="false">C206+D206+E206</f>
        <v>535529.019655634</v>
      </c>
      <c r="G206" s="34" t="n">
        <f aca="false">F206*DY_MENSAL</f>
        <v>3748.70313758944</v>
      </c>
      <c r="H206" s="34" t="n">
        <f aca="false">H205+D206</f>
        <v>209000</v>
      </c>
    </row>
    <row r="207" customFormat="false" ht="15" hidden="false" customHeight="false" outlineLevel="0" collapsed="false">
      <c r="A207" s="31" t="n">
        <v>205</v>
      </c>
      <c r="B207" s="31" t="n">
        <f aca="false">ROUNDUP(A207/12,0)</f>
        <v>18</v>
      </c>
      <c r="C207" s="32" t="n">
        <f aca="false">F206</f>
        <v>535529.019655634</v>
      </c>
      <c r="D207" s="32" t="n">
        <f aca="false">APORTE</f>
        <v>1000</v>
      </c>
      <c r="E207" s="32" t="n">
        <f aca="false">C207*TAXA_MENSAL</f>
        <v>4284.23215724507</v>
      </c>
      <c r="F207" s="32" t="n">
        <f aca="false">C207+D207+E207</f>
        <v>540813.251812879</v>
      </c>
      <c r="G207" s="32" t="n">
        <f aca="false">F207*DY_MENSAL</f>
        <v>3785.69276269015</v>
      </c>
      <c r="H207" s="32" t="n">
        <f aca="false">H206+D207</f>
        <v>210000</v>
      </c>
    </row>
    <row r="208" customFormat="false" ht="15" hidden="false" customHeight="false" outlineLevel="0" collapsed="false">
      <c r="A208" s="33" t="n">
        <v>206</v>
      </c>
      <c r="B208" s="33" t="n">
        <f aca="false">ROUNDUP(A208/12,0)</f>
        <v>18</v>
      </c>
      <c r="C208" s="34" t="n">
        <f aca="false">F207</f>
        <v>540813.251812879</v>
      </c>
      <c r="D208" s="34" t="n">
        <f aca="false">APORTE</f>
        <v>1000</v>
      </c>
      <c r="E208" s="34" t="n">
        <f aca="false">C208*TAXA_MENSAL</f>
        <v>4326.50601450303</v>
      </c>
      <c r="F208" s="34" t="n">
        <f aca="false">C208+D208+E208</f>
        <v>546139.757827382</v>
      </c>
      <c r="G208" s="34" t="n">
        <f aca="false">F208*DY_MENSAL</f>
        <v>3822.97830479167</v>
      </c>
      <c r="H208" s="34" t="n">
        <f aca="false">H207+D208</f>
        <v>211000</v>
      </c>
    </row>
    <row r="209" customFormat="false" ht="15" hidden="false" customHeight="false" outlineLevel="0" collapsed="false">
      <c r="A209" s="31" t="n">
        <v>207</v>
      </c>
      <c r="B209" s="31" t="n">
        <f aca="false">ROUNDUP(A209/12,0)</f>
        <v>18</v>
      </c>
      <c r="C209" s="32" t="n">
        <f aca="false">F208</f>
        <v>546139.757827382</v>
      </c>
      <c r="D209" s="32" t="n">
        <f aca="false">APORTE</f>
        <v>1000</v>
      </c>
      <c r="E209" s="32" t="n">
        <f aca="false">C209*TAXA_MENSAL</f>
        <v>4369.11806261906</v>
      </c>
      <c r="F209" s="32" t="n">
        <f aca="false">C209+D209+E209</f>
        <v>551508.875890001</v>
      </c>
      <c r="G209" s="32" t="n">
        <f aca="false">F209*DY_MENSAL</f>
        <v>3860.56213123001</v>
      </c>
      <c r="H209" s="32" t="n">
        <f aca="false">H208+D209</f>
        <v>212000</v>
      </c>
    </row>
    <row r="210" customFormat="false" ht="15" hidden="false" customHeight="false" outlineLevel="0" collapsed="false">
      <c r="A210" s="33" t="n">
        <v>208</v>
      </c>
      <c r="B210" s="33" t="n">
        <f aca="false">ROUNDUP(A210/12,0)</f>
        <v>18</v>
      </c>
      <c r="C210" s="34" t="n">
        <f aca="false">F209</f>
        <v>551508.875890001</v>
      </c>
      <c r="D210" s="34" t="n">
        <f aca="false">APORTE</f>
        <v>1000</v>
      </c>
      <c r="E210" s="34" t="n">
        <f aca="false">C210*TAXA_MENSAL</f>
        <v>4412.07100712001</v>
      </c>
      <c r="F210" s="34" t="n">
        <f aca="false">C210+D210+E210</f>
        <v>556920.946897121</v>
      </c>
      <c r="G210" s="34" t="n">
        <f aca="false">F210*DY_MENSAL</f>
        <v>3898.44662827985</v>
      </c>
      <c r="H210" s="34" t="n">
        <f aca="false">H209+D210</f>
        <v>213000</v>
      </c>
    </row>
    <row r="211" customFormat="false" ht="15" hidden="false" customHeight="false" outlineLevel="0" collapsed="false">
      <c r="A211" s="31" t="n">
        <v>209</v>
      </c>
      <c r="B211" s="31" t="n">
        <f aca="false">ROUNDUP(A211/12,0)</f>
        <v>18</v>
      </c>
      <c r="C211" s="32" t="n">
        <f aca="false">F210</f>
        <v>556920.946897121</v>
      </c>
      <c r="D211" s="32" t="n">
        <f aca="false">APORTE</f>
        <v>1000</v>
      </c>
      <c r="E211" s="32" t="n">
        <f aca="false">C211*TAXA_MENSAL</f>
        <v>4455.36757517697</v>
      </c>
      <c r="F211" s="32" t="n">
        <f aca="false">C211+D211+E211</f>
        <v>562376.314472298</v>
      </c>
      <c r="G211" s="32" t="n">
        <f aca="false">F211*DY_MENSAL</f>
        <v>3936.63420130609</v>
      </c>
      <c r="H211" s="32" t="n">
        <f aca="false">H210+D211</f>
        <v>214000</v>
      </c>
    </row>
    <row r="212" customFormat="false" ht="15" hidden="false" customHeight="false" outlineLevel="0" collapsed="false">
      <c r="A212" s="33" t="n">
        <v>210</v>
      </c>
      <c r="B212" s="33" t="n">
        <f aca="false">ROUNDUP(A212/12,0)</f>
        <v>18</v>
      </c>
      <c r="C212" s="34" t="n">
        <f aca="false">F211</f>
        <v>562376.314472298</v>
      </c>
      <c r="D212" s="34" t="n">
        <f aca="false">APORTE</f>
        <v>1000</v>
      </c>
      <c r="E212" s="34" t="n">
        <f aca="false">C212*TAXA_MENSAL</f>
        <v>4499.01051577838</v>
      </c>
      <c r="F212" s="34" t="n">
        <f aca="false">C212+D212+E212</f>
        <v>567875.324988076</v>
      </c>
      <c r="G212" s="34" t="n">
        <f aca="false">F212*DY_MENSAL</f>
        <v>3975.12727491653</v>
      </c>
      <c r="H212" s="34" t="n">
        <f aca="false">H211+D212</f>
        <v>215000</v>
      </c>
    </row>
    <row r="213" customFormat="false" ht="15" hidden="false" customHeight="false" outlineLevel="0" collapsed="false">
      <c r="A213" s="31" t="n">
        <v>211</v>
      </c>
      <c r="B213" s="31" t="n">
        <f aca="false">ROUNDUP(A213/12,0)</f>
        <v>18</v>
      </c>
      <c r="C213" s="32" t="n">
        <f aca="false">F212</f>
        <v>567875.324988076</v>
      </c>
      <c r="D213" s="32" t="n">
        <f aca="false">APORTE</f>
        <v>1000</v>
      </c>
      <c r="E213" s="32" t="n">
        <f aca="false">C213*TAXA_MENSAL</f>
        <v>4543.00259990461</v>
      </c>
      <c r="F213" s="32" t="n">
        <f aca="false">C213+D213+E213</f>
        <v>573418.327587981</v>
      </c>
      <c r="G213" s="32" t="n">
        <f aca="false">F213*DY_MENSAL</f>
        <v>4013.92829311587</v>
      </c>
      <c r="H213" s="32" t="n">
        <f aca="false">H212+D213</f>
        <v>216000</v>
      </c>
    </row>
    <row r="214" customFormat="false" ht="15" hidden="false" customHeight="false" outlineLevel="0" collapsed="false">
      <c r="A214" s="33" t="n">
        <v>212</v>
      </c>
      <c r="B214" s="33" t="n">
        <f aca="false">ROUNDUP(A214/12,0)</f>
        <v>18</v>
      </c>
      <c r="C214" s="34" t="n">
        <f aca="false">F213</f>
        <v>573418.327587981</v>
      </c>
      <c r="D214" s="34" t="n">
        <f aca="false">APORTE</f>
        <v>1000</v>
      </c>
      <c r="E214" s="34" t="n">
        <f aca="false">C214*TAXA_MENSAL</f>
        <v>4587.34662070385</v>
      </c>
      <c r="F214" s="34" t="n">
        <f aca="false">C214+D214+E214</f>
        <v>579005.674208685</v>
      </c>
      <c r="G214" s="34" t="n">
        <f aca="false">F214*DY_MENSAL</f>
        <v>4053.03971946079</v>
      </c>
      <c r="H214" s="34" t="n">
        <f aca="false">H213+D214</f>
        <v>217000</v>
      </c>
    </row>
    <row r="215" customFormat="false" ht="15" hidden="false" customHeight="false" outlineLevel="0" collapsed="false">
      <c r="A215" s="31" t="n">
        <v>213</v>
      </c>
      <c r="B215" s="31" t="n">
        <f aca="false">ROUNDUP(A215/12,0)</f>
        <v>18</v>
      </c>
      <c r="C215" s="32" t="n">
        <f aca="false">F214</f>
        <v>579005.674208685</v>
      </c>
      <c r="D215" s="32" t="n">
        <f aca="false">APORTE</f>
        <v>1000</v>
      </c>
      <c r="E215" s="32" t="n">
        <f aca="false">C215*TAXA_MENSAL</f>
        <v>4632.04539366948</v>
      </c>
      <c r="F215" s="32" t="n">
        <f aca="false">C215+D215+E215</f>
        <v>584637.719602354</v>
      </c>
      <c r="G215" s="32" t="n">
        <f aca="false">F215*DY_MENSAL</f>
        <v>4092.46403721648</v>
      </c>
      <c r="H215" s="32" t="n">
        <f aca="false">H214+D215</f>
        <v>218000</v>
      </c>
    </row>
    <row r="216" customFormat="false" ht="15" hidden="false" customHeight="false" outlineLevel="0" collapsed="false">
      <c r="A216" s="33" t="n">
        <v>214</v>
      </c>
      <c r="B216" s="33" t="n">
        <f aca="false">ROUNDUP(A216/12,0)</f>
        <v>18</v>
      </c>
      <c r="C216" s="34" t="n">
        <f aca="false">F215</f>
        <v>584637.719602354</v>
      </c>
      <c r="D216" s="34" t="n">
        <f aca="false">APORTE</f>
        <v>1000</v>
      </c>
      <c r="E216" s="34" t="n">
        <f aca="false">C216*TAXA_MENSAL</f>
        <v>4677.10175681883</v>
      </c>
      <c r="F216" s="34" t="n">
        <f aca="false">C216+D216+E216</f>
        <v>590314.821359173</v>
      </c>
      <c r="G216" s="34" t="n">
        <f aca="false">F216*DY_MENSAL</f>
        <v>4132.20374951421</v>
      </c>
      <c r="H216" s="34" t="n">
        <f aca="false">H215+D216</f>
        <v>219000</v>
      </c>
    </row>
    <row r="217" customFormat="false" ht="15" hidden="false" customHeight="false" outlineLevel="0" collapsed="false">
      <c r="A217" s="31" t="n">
        <v>215</v>
      </c>
      <c r="B217" s="31" t="n">
        <f aca="false">ROUNDUP(A217/12,0)</f>
        <v>18</v>
      </c>
      <c r="C217" s="32" t="n">
        <f aca="false">F216</f>
        <v>590314.821359173</v>
      </c>
      <c r="D217" s="32" t="n">
        <f aca="false">APORTE</f>
        <v>1000</v>
      </c>
      <c r="E217" s="32" t="n">
        <f aca="false">C217*TAXA_MENSAL</f>
        <v>4722.51857087338</v>
      </c>
      <c r="F217" s="32" t="n">
        <f aca="false">C217+D217+E217</f>
        <v>596037.339930047</v>
      </c>
      <c r="G217" s="32" t="n">
        <f aca="false">F217*DY_MENSAL</f>
        <v>4172.26137951033</v>
      </c>
      <c r="H217" s="32" t="n">
        <f aca="false">H216+D217</f>
        <v>220000</v>
      </c>
    </row>
    <row r="218" customFormat="false" ht="15" hidden="false" customHeight="false" outlineLevel="0" collapsed="false">
      <c r="A218" s="33" t="n">
        <v>216</v>
      </c>
      <c r="B218" s="33" t="n">
        <f aca="false">ROUNDUP(A218/12,0)</f>
        <v>18</v>
      </c>
      <c r="C218" s="34" t="n">
        <f aca="false">F217</f>
        <v>596037.339930047</v>
      </c>
      <c r="D218" s="34" t="n">
        <f aca="false">APORTE</f>
        <v>1000</v>
      </c>
      <c r="E218" s="34" t="n">
        <f aca="false">C218*TAXA_MENSAL</f>
        <v>4768.29871944037</v>
      </c>
      <c r="F218" s="34" t="n">
        <f aca="false">C218+D218+E218</f>
        <v>601805.638649487</v>
      </c>
      <c r="G218" s="34" t="n">
        <f aca="false">F218*DY_MENSAL</f>
        <v>4212.63947054641</v>
      </c>
      <c r="H218" s="34" t="n">
        <f aca="false">H217+D218</f>
        <v>221000</v>
      </c>
    </row>
    <row r="219" customFormat="false" ht="15" hidden="false" customHeight="false" outlineLevel="0" collapsed="false">
      <c r="A219" s="31" t="n">
        <v>217</v>
      </c>
      <c r="B219" s="31" t="n">
        <f aca="false">ROUNDUP(A219/12,0)</f>
        <v>19</v>
      </c>
      <c r="C219" s="32" t="n">
        <f aca="false">F218</f>
        <v>601805.638649487</v>
      </c>
      <c r="D219" s="32" t="n">
        <f aca="false">APORTE</f>
        <v>1000</v>
      </c>
      <c r="E219" s="32" t="n">
        <f aca="false">C219*TAXA_MENSAL</f>
        <v>4814.44510919589</v>
      </c>
      <c r="F219" s="32" t="n">
        <f aca="false">C219+D219+E219</f>
        <v>607620.083758683</v>
      </c>
      <c r="G219" s="32" t="n">
        <f aca="false">F219*DY_MENSAL</f>
        <v>4253.34058631078</v>
      </c>
      <c r="H219" s="32" t="n">
        <f aca="false">H218+D219</f>
        <v>222000</v>
      </c>
    </row>
    <row r="220" customFormat="false" ht="15" hidden="false" customHeight="false" outlineLevel="0" collapsed="false">
      <c r="A220" s="33" t="n">
        <v>218</v>
      </c>
      <c r="B220" s="33" t="n">
        <f aca="false">ROUNDUP(A220/12,0)</f>
        <v>19</v>
      </c>
      <c r="C220" s="34" t="n">
        <f aca="false">F219</f>
        <v>607620.083758683</v>
      </c>
      <c r="D220" s="34" t="n">
        <f aca="false">APORTE</f>
        <v>1000</v>
      </c>
      <c r="E220" s="34" t="n">
        <f aca="false">C220*TAXA_MENSAL</f>
        <v>4860.96067006946</v>
      </c>
      <c r="F220" s="34" t="n">
        <f aca="false">C220+D220+E220</f>
        <v>613481.044428752</v>
      </c>
      <c r="G220" s="34" t="n">
        <f aca="false">F220*DY_MENSAL</f>
        <v>4294.36731100127</v>
      </c>
      <c r="H220" s="34" t="n">
        <f aca="false">H219+D220</f>
        <v>223000</v>
      </c>
    </row>
    <row r="221" customFormat="false" ht="15" hidden="false" customHeight="false" outlineLevel="0" collapsed="false">
      <c r="A221" s="31" t="n">
        <v>219</v>
      </c>
      <c r="B221" s="31" t="n">
        <f aca="false">ROUNDUP(A221/12,0)</f>
        <v>19</v>
      </c>
      <c r="C221" s="32" t="n">
        <f aca="false">F220</f>
        <v>613481.044428752</v>
      </c>
      <c r="D221" s="32" t="n">
        <f aca="false">APORTE</f>
        <v>1000</v>
      </c>
      <c r="E221" s="32" t="n">
        <f aca="false">C221*TAXA_MENSAL</f>
        <v>4907.84835543002</v>
      </c>
      <c r="F221" s="32" t="n">
        <f aca="false">C221+D221+E221</f>
        <v>619388.892784182</v>
      </c>
      <c r="G221" s="32" t="n">
        <f aca="false">F221*DY_MENSAL</f>
        <v>4335.72224948928</v>
      </c>
      <c r="H221" s="32" t="n">
        <f aca="false">H220+D221</f>
        <v>224000</v>
      </c>
    </row>
    <row r="222" customFormat="false" ht="15" hidden="false" customHeight="false" outlineLevel="0" collapsed="false">
      <c r="A222" s="33" t="n">
        <v>220</v>
      </c>
      <c r="B222" s="33" t="n">
        <f aca="false">ROUNDUP(A222/12,0)</f>
        <v>19</v>
      </c>
      <c r="C222" s="34" t="n">
        <f aca="false">F221</f>
        <v>619388.892784182</v>
      </c>
      <c r="D222" s="34" t="n">
        <f aca="false">APORTE</f>
        <v>1000</v>
      </c>
      <c r="E222" s="34" t="n">
        <f aca="false">C222*TAXA_MENSAL</f>
        <v>4955.11114227346</v>
      </c>
      <c r="F222" s="34" t="n">
        <f aca="false">C222+D222+E222</f>
        <v>625344.003926456</v>
      </c>
      <c r="G222" s="34" t="n">
        <f aca="false">F222*DY_MENSAL</f>
        <v>4377.40802748519</v>
      </c>
      <c r="H222" s="34" t="n">
        <f aca="false">H221+D222</f>
        <v>225000</v>
      </c>
    </row>
    <row r="223" customFormat="false" ht="15" hidden="false" customHeight="false" outlineLevel="0" collapsed="false">
      <c r="A223" s="31" t="n">
        <v>221</v>
      </c>
      <c r="B223" s="31" t="n">
        <f aca="false">ROUNDUP(A223/12,0)</f>
        <v>19</v>
      </c>
      <c r="C223" s="32" t="n">
        <f aca="false">F222</f>
        <v>625344.003926456</v>
      </c>
      <c r="D223" s="32" t="n">
        <f aca="false">APORTE</f>
        <v>1000</v>
      </c>
      <c r="E223" s="32" t="n">
        <f aca="false">C223*TAXA_MENSAL</f>
        <v>5002.75203141165</v>
      </c>
      <c r="F223" s="32" t="n">
        <f aca="false">C223+D223+E223</f>
        <v>631346.755957867</v>
      </c>
      <c r="G223" s="32" t="n">
        <f aca="false">F223*DY_MENSAL</f>
        <v>4419.42729170507</v>
      </c>
      <c r="H223" s="32" t="n">
        <f aca="false">H222+D223</f>
        <v>226000</v>
      </c>
    </row>
    <row r="224" customFormat="false" ht="15" hidden="false" customHeight="false" outlineLevel="0" collapsed="false">
      <c r="A224" s="33" t="n">
        <v>222</v>
      </c>
      <c r="B224" s="33" t="n">
        <f aca="false">ROUNDUP(A224/12,0)</f>
        <v>19</v>
      </c>
      <c r="C224" s="34" t="n">
        <f aca="false">F223</f>
        <v>631346.755957867</v>
      </c>
      <c r="D224" s="34" t="n">
        <f aca="false">APORTE</f>
        <v>1000</v>
      </c>
      <c r="E224" s="34" t="n">
        <f aca="false">C224*TAXA_MENSAL</f>
        <v>5050.77404766294</v>
      </c>
      <c r="F224" s="34" t="n">
        <f aca="false">C224+D224+E224</f>
        <v>637397.53000553</v>
      </c>
      <c r="G224" s="34" t="n">
        <f aca="false">F224*DY_MENSAL</f>
        <v>4461.78271003871</v>
      </c>
      <c r="H224" s="34" t="n">
        <f aca="false">H223+D224</f>
        <v>227000</v>
      </c>
    </row>
    <row r="225" customFormat="false" ht="15" hidden="false" customHeight="false" outlineLevel="0" collapsed="false">
      <c r="A225" s="31" t="n">
        <v>223</v>
      </c>
      <c r="B225" s="31" t="n">
        <f aca="false">ROUNDUP(A225/12,0)</f>
        <v>19</v>
      </c>
      <c r="C225" s="32" t="n">
        <f aca="false">F224</f>
        <v>637397.53000553</v>
      </c>
      <c r="D225" s="32" t="n">
        <f aca="false">APORTE</f>
        <v>1000</v>
      </c>
      <c r="E225" s="32" t="n">
        <f aca="false">C225*TAXA_MENSAL</f>
        <v>5099.18024004424</v>
      </c>
      <c r="F225" s="32" t="n">
        <f aca="false">C225+D225+E225</f>
        <v>643496.710245575</v>
      </c>
      <c r="G225" s="32" t="n">
        <f aca="false">F225*DY_MENSAL</f>
        <v>4504.47697171902</v>
      </c>
      <c r="H225" s="32" t="n">
        <f aca="false">H224+D225</f>
        <v>228000</v>
      </c>
    </row>
    <row r="226" customFormat="false" ht="15" hidden="false" customHeight="false" outlineLevel="0" collapsed="false">
      <c r="A226" s="33" t="n">
        <v>224</v>
      </c>
      <c r="B226" s="33" t="n">
        <f aca="false">ROUNDUP(A226/12,0)</f>
        <v>19</v>
      </c>
      <c r="C226" s="34" t="n">
        <f aca="false">F225</f>
        <v>643496.710245575</v>
      </c>
      <c r="D226" s="34" t="n">
        <f aca="false">APORTE</f>
        <v>1000</v>
      </c>
      <c r="E226" s="34" t="n">
        <f aca="false">C226*TAXA_MENSAL</f>
        <v>5147.9736819646</v>
      </c>
      <c r="F226" s="34" t="n">
        <f aca="false">C226+D226+E226</f>
        <v>649644.683927539</v>
      </c>
      <c r="G226" s="34" t="n">
        <f aca="false">F226*DY_MENSAL</f>
        <v>4547.51278749277</v>
      </c>
      <c r="H226" s="34" t="n">
        <f aca="false">H225+D226</f>
        <v>229000</v>
      </c>
    </row>
    <row r="227" customFormat="false" ht="15" hidden="false" customHeight="false" outlineLevel="0" collapsed="false">
      <c r="A227" s="31" t="n">
        <v>225</v>
      </c>
      <c r="B227" s="31" t="n">
        <f aca="false">ROUNDUP(A227/12,0)</f>
        <v>19</v>
      </c>
      <c r="C227" s="32" t="n">
        <f aca="false">F226</f>
        <v>649644.683927539</v>
      </c>
      <c r="D227" s="32" t="n">
        <f aca="false">APORTE</f>
        <v>1000</v>
      </c>
      <c r="E227" s="32" t="n">
        <f aca="false">C227*TAXA_MENSAL</f>
        <v>5197.15747142031</v>
      </c>
      <c r="F227" s="32" t="n">
        <f aca="false">C227+D227+E227</f>
        <v>655841.841398959</v>
      </c>
      <c r="G227" s="32" t="n">
        <f aca="false">F227*DY_MENSAL</f>
        <v>4590.89288979272</v>
      </c>
      <c r="H227" s="32" t="n">
        <f aca="false">H226+D227</f>
        <v>230000</v>
      </c>
    </row>
    <row r="228" customFormat="false" ht="15" hidden="false" customHeight="false" outlineLevel="0" collapsed="false">
      <c r="A228" s="33" t="n">
        <v>226</v>
      </c>
      <c r="B228" s="33" t="n">
        <f aca="false">ROUNDUP(A228/12,0)</f>
        <v>19</v>
      </c>
      <c r="C228" s="34" t="n">
        <f aca="false">F227</f>
        <v>655841.841398959</v>
      </c>
      <c r="D228" s="34" t="n">
        <f aca="false">APORTE</f>
        <v>1000</v>
      </c>
      <c r="E228" s="34" t="n">
        <f aca="false">C228*TAXA_MENSAL</f>
        <v>5246.73473119168</v>
      </c>
      <c r="F228" s="34" t="n">
        <f aca="false">C228+D228+E228</f>
        <v>662088.576130151</v>
      </c>
      <c r="G228" s="34" t="n">
        <f aca="false">F228*DY_MENSAL</f>
        <v>4634.62003291106</v>
      </c>
      <c r="H228" s="34" t="n">
        <f aca="false">H227+D228</f>
        <v>231000</v>
      </c>
    </row>
    <row r="229" customFormat="false" ht="15" hidden="false" customHeight="false" outlineLevel="0" collapsed="false">
      <c r="A229" s="31" t="n">
        <v>227</v>
      </c>
      <c r="B229" s="31" t="n">
        <f aca="false">ROUNDUP(A229/12,0)</f>
        <v>19</v>
      </c>
      <c r="C229" s="32" t="n">
        <f aca="false">F228</f>
        <v>662088.576130151</v>
      </c>
      <c r="D229" s="32" t="n">
        <f aca="false">APORTE</f>
        <v>1000</v>
      </c>
      <c r="E229" s="32" t="n">
        <f aca="false">C229*TAXA_MENSAL</f>
        <v>5296.70860904121</v>
      </c>
      <c r="F229" s="32" t="n">
        <f aca="false">C229+D229+E229</f>
        <v>668385.284739192</v>
      </c>
      <c r="G229" s="32" t="n">
        <f aca="false">F229*DY_MENSAL</f>
        <v>4678.69699317435</v>
      </c>
      <c r="H229" s="32" t="n">
        <f aca="false">H228+D229</f>
        <v>232000</v>
      </c>
    </row>
    <row r="230" customFormat="false" ht="15" hidden="false" customHeight="false" outlineLevel="0" collapsed="false">
      <c r="A230" s="33" t="n">
        <v>228</v>
      </c>
      <c r="B230" s="33" t="n">
        <f aca="false">ROUNDUP(A230/12,0)</f>
        <v>19</v>
      </c>
      <c r="C230" s="34" t="n">
        <f aca="false">F229</f>
        <v>668385.284739192</v>
      </c>
      <c r="D230" s="34" t="n">
        <f aca="false">APORTE</f>
        <v>1000</v>
      </c>
      <c r="E230" s="34" t="n">
        <f aca="false">C230*TAXA_MENSAL</f>
        <v>5347.08227791354</v>
      </c>
      <c r="F230" s="34" t="n">
        <f aca="false">C230+D230+E230</f>
        <v>674732.367017106</v>
      </c>
      <c r="G230" s="34" t="n">
        <f aca="false">F230*DY_MENSAL</f>
        <v>4723.12656911974</v>
      </c>
      <c r="H230" s="34" t="n">
        <f aca="false">H229+D230</f>
        <v>233000</v>
      </c>
    </row>
    <row r="231" customFormat="false" ht="15" hidden="false" customHeight="false" outlineLevel="0" collapsed="false">
      <c r="A231" s="31" t="n">
        <v>229</v>
      </c>
      <c r="B231" s="31" t="n">
        <f aca="false">ROUNDUP(A231/12,0)</f>
        <v>20</v>
      </c>
      <c r="C231" s="32" t="n">
        <f aca="false">F230</f>
        <v>674732.367017106</v>
      </c>
      <c r="D231" s="32" t="n">
        <f aca="false">APORTE</f>
        <v>1000</v>
      </c>
      <c r="E231" s="32" t="n">
        <f aca="false">C231*TAXA_MENSAL</f>
        <v>5397.85893613685</v>
      </c>
      <c r="F231" s="32" t="n">
        <f aca="false">C231+D231+E231</f>
        <v>681130.225953243</v>
      </c>
      <c r="G231" s="32" t="n">
        <f aca="false">F231*DY_MENSAL</f>
        <v>4767.9115816727</v>
      </c>
      <c r="H231" s="32" t="n">
        <f aca="false">H230+D231</f>
        <v>234000</v>
      </c>
    </row>
    <row r="232" customFormat="false" ht="15" hidden="false" customHeight="false" outlineLevel="0" collapsed="false">
      <c r="A232" s="33" t="n">
        <v>230</v>
      </c>
      <c r="B232" s="33" t="n">
        <f aca="false">ROUNDUP(A232/12,0)</f>
        <v>20</v>
      </c>
      <c r="C232" s="34" t="n">
        <f aca="false">F231</f>
        <v>681130.225953243</v>
      </c>
      <c r="D232" s="34" t="n">
        <f aca="false">APORTE</f>
        <v>1000</v>
      </c>
      <c r="E232" s="34" t="n">
        <f aca="false">C232*TAXA_MENSAL</f>
        <v>5449.04180762594</v>
      </c>
      <c r="F232" s="34" t="n">
        <f aca="false">C232+D232+E232</f>
        <v>687579.267760869</v>
      </c>
      <c r="G232" s="34" t="n">
        <f aca="false">F232*DY_MENSAL</f>
        <v>4813.05487432608</v>
      </c>
      <c r="H232" s="34" t="n">
        <f aca="false">H231+D232</f>
        <v>235000</v>
      </c>
    </row>
    <row r="233" customFormat="false" ht="15" hidden="false" customHeight="false" outlineLevel="0" collapsed="false">
      <c r="A233" s="31" t="n">
        <v>231</v>
      </c>
      <c r="B233" s="31" t="n">
        <f aca="false">ROUNDUP(A233/12,0)</f>
        <v>20</v>
      </c>
      <c r="C233" s="32" t="n">
        <f aca="false">F232</f>
        <v>687579.267760869</v>
      </c>
      <c r="D233" s="32" t="n">
        <f aca="false">APORTE</f>
        <v>1000</v>
      </c>
      <c r="E233" s="32" t="n">
        <f aca="false">C233*TAXA_MENSAL</f>
        <v>5500.63414208695</v>
      </c>
      <c r="F233" s="32" t="n">
        <f aca="false">C233+D233+E233</f>
        <v>694079.901902956</v>
      </c>
      <c r="G233" s="32" t="n">
        <f aca="false">F233*DY_MENSAL</f>
        <v>4858.55931332069</v>
      </c>
      <c r="H233" s="32" t="n">
        <f aca="false">H232+D233</f>
        <v>236000</v>
      </c>
    </row>
    <row r="234" customFormat="false" ht="15" hidden="false" customHeight="false" outlineLevel="0" collapsed="false">
      <c r="A234" s="33" t="n">
        <v>232</v>
      </c>
      <c r="B234" s="33" t="n">
        <f aca="false">ROUNDUP(A234/12,0)</f>
        <v>20</v>
      </c>
      <c r="C234" s="34" t="n">
        <f aca="false">F233</f>
        <v>694079.901902956</v>
      </c>
      <c r="D234" s="34" t="n">
        <f aca="false">APORTE</f>
        <v>1000</v>
      </c>
      <c r="E234" s="34" t="n">
        <f aca="false">C234*TAXA_MENSAL</f>
        <v>5552.63921522364</v>
      </c>
      <c r="F234" s="34" t="n">
        <f aca="false">C234+D234+E234</f>
        <v>700632.541118179</v>
      </c>
      <c r="G234" s="34" t="n">
        <f aca="false">F234*DY_MENSAL</f>
        <v>4904.42778782725</v>
      </c>
      <c r="H234" s="34" t="n">
        <f aca="false">H233+D234</f>
        <v>237000</v>
      </c>
    </row>
    <row r="235" customFormat="false" ht="15" hidden="false" customHeight="false" outlineLevel="0" collapsed="false">
      <c r="A235" s="31" t="n">
        <v>233</v>
      </c>
      <c r="B235" s="31" t="n">
        <f aca="false">ROUNDUP(A235/12,0)</f>
        <v>20</v>
      </c>
      <c r="C235" s="32" t="n">
        <f aca="false">F234</f>
        <v>700632.541118179</v>
      </c>
      <c r="D235" s="32" t="n">
        <f aca="false">APORTE</f>
        <v>1000</v>
      </c>
      <c r="E235" s="32" t="n">
        <f aca="false">C235*TAXA_MENSAL</f>
        <v>5605.06032894543</v>
      </c>
      <c r="F235" s="32" t="n">
        <f aca="false">C235+D235+E235</f>
        <v>707237.601447125</v>
      </c>
      <c r="G235" s="32" t="n">
        <f aca="false">F235*DY_MENSAL</f>
        <v>4950.66321012987</v>
      </c>
      <c r="H235" s="32" t="n">
        <f aca="false">H234+D235</f>
        <v>238000</v>
      </c>
    </row>
    <row r="236" customFormat="false" ht="15" hidden="false" customHeight="false" outlineLevel="0" collapsed="false">
      <c r="A236" s="33" t="n">
        <v>234</v>
      </c>
      <c r="B236" s="33" t="n">
        <f aca="false">ROUNDUP(A236/12,0)</f>
        <v>20</v>
      </c>
      <c r="C236" s="34" t="n">
        <f aca="false">F235</f>
        <v>707237.601447125</v>
      </c>
      <c r="D236" s="34" t="n">
        <f aca="false">APORTE</f>
        <v>1000</v>
      </c>
      <c r="E236" s="34" t="n">
        <f aca="false">C236*TAXA_MENSAL</f>
        <v>5657.900811577</v>
      </c>
      <c r="F236" s="34" t="n">
        <f aca="false">C236+D236+E236</f>
        <v>713895.502258702</v>
      </c>
      <c r="G236" s="34" t="n">
        <f aca="false">F236*DY_MENSAL</f>
        <v>4997.26851581091</v>
      </c>
      <c r="H236" s="34" t="n">
        <f aca="false">H235+D236</f>
        <v>239000</v>
      </c>
    </row>
    <row r="237" customFormat="false" ht="15" hidden="false" customHeight="false" outlineLevel="0" collapsed="false">
      <c r="A237" s="31" t="n">
        <v>235</v>
      </c>
      <c r="B237" s="31" t="n">
        <f aca="false">ROUNDUP(A237/12,0)</f>
        <v>20</v>
      </c>
      <c r="C237" s="32" t="n">
        <f aca="false">F236</f>
        <v>713895.502258702</v>
      </c>
      <c r="D237" s="32" t="n">
        <f aca="false">APORTE</f>
        <v>1000</v>
      </c>
      <c r="E237" s="32" t="n">
        <f aca="false">C237*TAXA_MENSAL</f>
        <v>5711.16401806961</v>
      </c>
      <c r="F237" s="32" t="n">
        <f aca="false">C237+D237+E237</f>
        <v>720606.666276771</v>
      </c>
      <c r="G237" s="32" t="n">
        <f aca="false">F237*DY_MENSAL</f>
        <v>5044.2466639374</v>
      </c>
      <c r="H237" s="32" t="n">
        <f aca="false">H236+D237</f>
        <v>240000</v>
      </c>
    </row>
    <row r="238" customFormat="false" ht="15" hidden="false" customHeight="false" outlineLevel="0" collapsed="false">
      <c r="A238" s="33" t="n">
        <v>236</v>
      </c>
      <c r="B238" s="33" t="n">
        <f aca="false">ROUNDUP(A238/12,0)</f>
        <v>20</v>
      </c>
      <c r="C238" s="34" t="n">
        <f aca="false">F237</f>
        <v>720606.666276771</v>
      </c>
      <c r="D238" s="34" t="n">
        <f aca="false">APORTE</f>
        <v>1000</v>
      </c>
      <c r="E238" s="34" t="n">
        <f aca="false">C238*TAXA_MENSAL</f>
        <v>5764.85333021417</v>
      </c>
      <c r="F238" s="34" t="n">
        <f aca="false">C238+D238+E238</f>
        <v>727371.519606985</v>
      </c>
      <c r="G238" s="34" t="n">
        <f aca="false">F238*DY_MENSAL</f>
        <v>5091.6006372489</v>
      </c>
      <c r="H238" s="34" t="n">
        <f aca="false">H237+D238</f>
        <v>241000</v>
      </c>
    </row>
    <row r="239" customFormat="false" ht="15" hidden="false" customHeight="false" outlineLevel="0" collapsed="false">
      <c r="A239" s="31" t="n">
        <v>237</v>
      </c>
      <c r="B239" s="31" t="n">
        <f aca="false">ROUNDUP(A239/12,0)</f>
        <v>20</v>
      </c>
      <c r="C239" s="32" t="n">
        <f aca="false">F238</f>
        <v>727371.519606985</v>
      </c>
      <c r="D239" s="32" t="n">
        <f aca="false">APORTE</f>
        <v>1000</v>
      </c>
      <c r="E239" s="32" t="n">
        <f aca="false">C239*TAXA_MENSAL</f>
        <v>5818.97215685588</v>
      </c>
      <c r="F239" s="32" t="n">
        <f aca="false">C239+D239+E239</f>
        <v>734190.491763841</v>
      </c>
      <c r="G239" s="32" t="n">
        <f aca="false">F239*DY_MENSAL</f>
        <v>5139.33344234689</v>
      </c>
      <c r="H239" s="32" t="n">
        <f aca="false">H238+D239</f>
        <v>242000</v>
      </c>
    </row>
    <row r="240" customFormat="false" ht="15" hidden="false" customHeight="false" outlineLevel="0" collapsed="false">
      <c r="A240" s="33" t="n">
        <v>238</v>
      </c>
      <c r="B240" s="33" t="n">
        <f aca="false">ROUNDUP(A240/12,0)</f>
        <v>20</v>
      </c>
      <c r="C240" s="34" t="n">
        <f aca="false">F239</f>
        <v>734190.491763841</v>
      </c>
      <c r="D240" s="34" t="n">
        <f aca="false">APORTE</f>
        <v>1000</v>
      </c>
      <c r="E240" s="34" t="n">
        <f aca="false">C240*TAXA_MENSAL</f>
        <v>5873.52393411073</v>
      </c>
      <c r="F240" s="34" t="n">
        <f aca="false">C240+D240+E240</f>
        <v>741064.015697952</v>
      </c>
      <c r="G240" s="34" t="n">
        <f aca="false">F240*DY_MENSAL</f>
        <v>5187.44810988566</v>
      </c>
      <c r="H240" s="34" t="n">
        <f aca="false">H239+D240</f>
        <v>243000</v>
      </c>
    </row>
    <row r="241" customFormat="false" ht="15" hidden="false" customHeight="false" outlineLevel="0" collapsed="false">
      <c r="A241" s="31" t="n">
        <v>239</v>
      </c>
      <c r="B241" s="31" t="n">
        <f aca="false">ROUNDUP(A241/12,0)</f>
        <v>20</v>
      </c>
      <c r="C241" s="32" t="n">
        <f aca="false">F240</f>
        <v>741064.015697952</v>
      </c>
      <c r="D241" s="32" t="n">
        <f aca="false">APORTE</f>
        <v>1000</v>
      </c>
      <c r="E241" s="32" t="n">
        <f aca="false">C241*TAXA_MENSAL</f>
        <v>5928.51212558362</v>
      </c>
      <c r="F241" s="32" t="n">
        <f aca="false">C241+D241+E241</f>
        <v>747992.527823536</v>
      </c>
      <c r="G241" s="32" t="n">
        <f aca="false">F241*DY_MENSAL</f>
        <v>5235.94769476475</v>
      </c>
      <c r="H241" s="32" t="n">
        <f aca="false">H240+D241</f>
        <v>244000</v>
      </c>
    </row>
    <row r="242" customFormat="false" ht="15" hidden="false" customHeight="false" outlineLevel="0" collapsed="false">
      <c r="A242" s="33" t="n">
        <v>240</v>
      </c>
      <c r="B242" s="33" t="n">
        <f aca="false">ROUNDUP(A242/12,0)</f>
        <v>20</v>
      </c>
      <c r="C242" s="34" t="n">
        <f aca="false">F241</f>
        <v>747992.527823536</v>
      </c>
      <c r="D242" s="34" t="n">
        <f aca="false">APORTE</f>
        <v>1000</v>
      </c>
      <c r="E242" s="34" t="n">
        <f aca="false">C242*TAXA_MENSAL</f>
        <v>5983.94022258828</v>
      </c>
      <c r="F242" s="34" t="n">
        <f aca="false">C242+D242+E242</f>
        <v>754976.468046124</v>
      </c>
      <c r="G242" s="34" t="n">
        <f aca="false">F242*DY_MENSAL</f>
        <v>5284.83527632287</v>
      </c>
      <c r="H242" s="34" t="n">
        <f aca="false">H241+D242</f>
        <v>245000</v>
      </c>
    </row>
    <row r="243" customFormat="false" ht="15" hidden="false" customHeight="false" outlineLevel="0" collapsed="false">
      <c r="A243" s="31" t="n">
        <v>241</v>
      </c>
      <c r="B243" s="31" t="n">
        <f aca="false">ROUNDUP(A243/12,0)</f>
        <v>21</v>
      </c>
      <c r="C243" s="32" t="n">
        <f aca="false">F242</f>
        <v>754976.468046124</v>
      </c>
      <c r="D243" s="32" t="n">
        <f aca="false">APORTE</f>
        <v>1000</v>
      </c>
      <c r="E243" s="32" t="n">
        <f aca="false">C243*TAXA_MENSAL</f>
        <v>6039.81174436899</v>
      </c>
      <c r="F243" s="32" t="n">
        <f aca="false">C243+D243+E243</f>
        <v>762016.279790493</v>
      </c>
      <c r="G243" s="32" t="n">
        <f aca="false">F243*DY_MENSAL</f>
        <v>5334.11395853345</v>
      </c>
      <c r="H243" s="32" t="n">
        <f aca="false">H242+D243</f>
        <v>246000</v>
      </c>
    </row>
    <row r="244" customFormat="false" ht="15" hidden="false" customHeight="false" outlineLevel="0" collapsed="false">
      <c r="A244" s="33" t="n">
        <v>242</v>
      </c>
      <c r="B244" s="33" t="n">
        <f aca="false">ROUNDUP(A244/12,0)</f>
        <v>21</v>
      </c>
      <c r="C244" s="34" t="n">
        <f aca="false">F243</f>
        <v>762016.279790493</v>
      </c>
      <c r="D244" s="34" t="n">
        <f aca="false">APORTE</f>
        <v>1000</v>
      </c>
      <c r="E244" s="34" t="n">
        <f aca="false">C244*TAXA_MENSAL</f>
        <v>6096.13023832394</v>
      </c>
      <c r="F244" s="34" t="n">
        <f aca="false">C244+D244+E244</f>
        <v>769112.410028817</v>
      </c>
      <c r="G244" s="34" t="n">
        <f aca="false">F244*DY_MENSAL</f>
        <v>5383.78687020172</v>
      </c>
      <c r="H244" s="34" t="n">
        <f aca="false">H243+D244</f>
        <v>247000</v>
      </c>
    </row>
    <row r="245" customFormat="false" ht="15" hidden="false" customHeight="false" outlineLevel="0" collapsed="false">
      <c r="A245" s="31" t="n">
        <v>243</v>
      </c>
      <c r="B245" s="31" t="n">
        <f aca="false">ROUNDUP(A245/12,0)</f>
        <v>21</v>
      </c>
      <c r="C245" s="32" t="n">
        <f aca="false">F244</f>
        <v>769112.410028817</v>
      </c>
      <c r="D245" s="32" t="n">
        <f aca="false">APORTE</f>
        <v>1000</v>
      </c>
      <c r="E245" s="32" t="n">
        <f aca="false">C245*TAXA_MENSAL</f>
        <v>6152.89928023053</v>
      </c>
      <c r="F245" s="32" t="n">
        <f aca="false">C245+D245+E245</f>
        <v>776265.309309047</v>
      </c>
      <c r="G245" s="32" t="n">
        <f aca="false">F245*DY_MENSAL</f>
        <v>5433.85716516333</v>
      </c>
      <c r="H245" s="32" t="n">
        <f aca="false">H244+D245</f>
        <v>248000</v>
      </c>
    </row>
    <row r="246" customFormat="false" ht="15" hidden="false" customHeight="false" outlineLevel="0" collapsed="false">
      <c r="A246" s="33" t="n">
        <v>244</v>
      </c>
      <c r="B246" s="33" t="n">
        <f aca="false">ROUNDUP(A246/12,0)</f>
        <v>21</v>
      </c>
      <c r="C246" s="34" t="n">
        <f aca="false">F245</f>
        <v>776265.309309047</v>
      </c>
      <c r="D246" s="34" t="n">
        <f aca="false">APORTE</f>
        <v>1000</v>
      </c>
      <c r="E246" s="34" t="n">
        <f aca="false">C246*TAXA_MENSAL</f>
        <v>6210.12247447238</v>
      </c>
      <c r="F246" s="34" t="n">
        <f aca="false">C246+D246+E246</f>
        <v>783475.43178352</v>
      </c>
      <c r="G246" s="34" t="n">
        <f aca="false">F246*DY_MENSAL</f>
        <v>5484.32802248464</v>
      </c>
      <c r="H246" s="34" t="n">
        <f aca="false">H245+D246</f>
        <v>249000</v>
      </c>
    </row>
    <row r="247" customFormat="false" ht="15" hidden="false" customHeight="false" outlineLevel="0" collapsed="false">
      <c r="A247" s="31" t="n">
        <v>245</v>
      </c>
      <c r="B247" s="31" t="n">
        <f aca="false">ROUNDUP(A247/12,0)</f>
        <v>21</v>
      </c>
      <c r="C247" s="32" t="n">
        <f aca="false">F246</f>
        <v>783475.43178352</v>
      </c>
      <c r="D247" s="32" t="n">
        <f aca="false">APORTE</f>
        <v>1000</v>
      </c>
      <c r="E247" s="32" t="n">
        <f aca="false">C247*TAXA_MENSAL</f>
        <v>6267.80345426816</v>
      </c>
      <c r="F247" s="32" t="n">
        <f aca="false">C247+D247+E247</f>
        <v>790743.235237788</v>
      </c>
      <c r="G247" s="32" t="n">
        <f aca="false">F247*DY_MENSAL</f>
        <v>5535.20264666451</v>
      </c>
      <c r="H247" s="32" t="n">
        <f aca="false">H246+D247</f>
        <v>250000</v>
      </c>
    </row>
    <row r="248" customFormat="false" ht="15" hidden="false" customHeight="false" outlineLevel="0" collapsed="false">
      <c r="A248" s="33" t="n">
        <v>246</v>
      </c>
      <c r="B248" s="33" t="n">
        <f aca="false">ROUNDUP(A248/12,0)</f>
        <v>21</v>
      </c>
      <c r="C248" s="34" t="n">
        <f aca="false">F247</f>
        <v>790743.235237788</v>
      </c>
      <c r="D248" s="34" t="n">
        <f aca="false">APORTE</f>
        <v>1000</v>
      </c>
      <c r="E248" s="34" t="n">
        <f aca="false">C248*TAXA_MENSAL</f>
        <v>6325.9458819023</v>
      </c>
      <c r="F248" s="34" t="n">
        <f aca="false">C248+D248+E248</f>
        <v>798069.18111969</v>
      </c>
      <c r="G248" s="34" t="n">
        <f aca="false">F248*DY_MENSAL</f>
        <v>5586.48426783783</v>
      </c>
      <c r="H248" s="34" t="n">
        <f aca="false">H247+D248</f>
        <v>251000</v>
      </c>
    </row>
    <row r="249" customFormat="false" ht="15" hidden="false" customHeight="false" outlineLevel="0" collapsed="false">
      <c r="A249" s="31" t="n">
        <v>247</v>
      </c>
      <c r="B249" s="31" t="n">
        <f aca="false">ROUNDUP(A249/12,0)</f>
        <v>21</v>
      </c>
      <c r="C249" s="32" t="n">
        <f aca="false">F248</f>
        <v>798069.18111969</v>
      </c>
      <c r="D249" s="32" t="n">
        <f aca="false">APORTE</f>
        <v>1000</v>
      </c>
      <c r="E249" s="32" t="n">
        <f aca="false">C249*TAXA_MENSAL</f>
        <v>6384.55344895752</v>
      </c>
      <c r="F249" s="32" t="n">
        <f aca="false">C249+D249+E249</f>
        <v>805453.734568648</v>
      </c>
      <c r="G249" s="32" t="n">
        <f aca="false">F249*DY_MENSAL</f>
        <v>5638.17614198053</v>
      </c>
      <c r="H249" s="32" t="n">
        <f aca="false">H248+D249</f>
        <v>252000</v>
      </c>
    </row>
    <row r="250" customFormat="false" ht="15" hidden="false" customHeight="false" outlineLevel="0" collapsed="false">
      <c r="A250" s="33" t="n">
        <v>248</v>
      </c>
      <c r="B250" s="33" t="n">
        <f aca="false">ROUNDUP(A250/12,0)</f>
        <v>21</v>
      </c>
      <c r="C250" s="34" t="n">
        <f aca="false">F249</f>
        <v>805453.734568648</v>
      </c>
      <c r="D250" s="34" t="n">
        <f aca="false">APORTE</f>
        <v>1000</v>
      </c>
      <c r="E250" s="34" t="n">
        <f aca="false">C250*TAXA_MENSAL</f>
        <v>6443.62987654918</v>
      </c>
      <c r="F250" s="34" t="n">
        <f aca="false">C250+D250+E250</f>
        <v>812897.364445197</v>
      </c>
      <c r="G250" s="34" t="n">
        <f aca="false">F250*DY_MENSAL</f>
        <v>5690.28155111638</v>
      </c>
      <c r="H250" s="34" t="n">
        <f aca="false">H249+D250</f>
        <v>253000</v>
      </c>
    </row>
    <row r="251" customFormat="false" ht="15" hidden="false" customHeight="false" outlineLevel="0" collapsed="false">
      <c r="A251" s="31" t="n">
        <v>249</v>
      </c>
      <c r="B251" s="31" t="n">
        <f aca="false">ROUNDUP(A251/12,0)</f>
        <v>21</v>
      </c>
      <c r="C251" s="32" t="n">
        <f aca="false">F250</f>
        <v>812897.364445197</v>
      </c>
      <c r="D251" s="32" t="n">
        <f aca="false">APORTE</f>
        <v>1000</v>
      </c>
      <c r="E251" s="32" t="n">
        <f aca="false">C251*TAXA_MENSAL</f>
        <v>6503.17891556157</v>
      </c>
      <c r="F251" s="32" t="n">
        <f aca="false">C251+D251+E251</f>
        <v>820400.543360758</v>
      </c>
      <c r="G251" s="32" t="n">
        <f aca="false">F251*DY_MENSAL</f>
        <v>5742.80380352531</v>
      </c>
      <c r="H251" s="32" t="n">
        <f aca="false">H250+D251</f>
        <v>254000</v>
      </c>
    </row>
    <row r="252" customFormat="false" ht="15" hidden="false" customHeight="false" outlineLevel="0" collapsed="false">
      <c r="A252" s="33" t="n">
        <v>250</v>
      </c>
      <c r="B252" s="33" t="n">
        <f aca="false">ROUNDUP(A252/12,0)</f>
        <v>21</v>
      </c>
      <c r="C252" s="34" t="n">
        <f aca="false">F251</f>
        <v>820400.543360758</v>
      </c>
      <c r="D252" s="34" t="n">
        <f aca="false">APORTE</f>
        <v>1000</v>
      </c>
      <c r="E252" s="34" t="n">
        <f aca="false">C252*TAXA_MENSAL</f>
        <v>6563.20434688607</v>
      </c>
      <c r="F252" s="34" t="n">
        <f aca="false">C252+D252+E252</f>
        <v>827963.747707644</v>
      </c>
      <c r="G252" s="34" t="n">
        <f aca="false">F252*DY_MENSAL</f>
        <v>5795.74623395351</v>
      </c>
      <c r="H252" s="34" t="n">
        <f aca="false">H251+D252</f>
        <v>255000</v>
      </c>
    </row>
    <row r="253" customFormat="false" ht="15" hidden="false" customHeight="false" outlineLevel="0" collapsed="false">
      <c r="A253" s="31" t="n">
        <v>251</v>
      </c>
      <c r="B253" s="31" t="n">
        <f aca="false">ROUNDUP(A253/12,0)</f>
        <v>21</v>
      </c>
      <c r="C253" s="32" t="n">
        <f aca="false">F252</f>
        <v>827963.747707644</v>
      </c>
      <c r="D253" s="32" t="n">
        <f aca="false">APORTE</f>
        <v>1000</v>
      </c>
      <c r="E253" s="32" t="n">
        <f aca="false">C253*TAXA_MENSAL</f>
        <v>6623.70998166115</v>
      </c>
      <c r="F253" s="32" t="n">
        <f aca="false">C253+D253+E253</f>
        <v>835587.457689305</v>
      </c>
      <c r="G253" s="32" t="n">
        <f aca="false">F253*DY_MENSAL</f>
        <v>5849.11220382514</v>
      </c>
      <c r="H253" s="32" t="n">
        <f aca="false">H252+D253</f>
        <v>256000</v>
      </c>
    </row>
    <row r="254" customFormat="false" ht="15" hidden="false" customHeight="false" outlineLevel="0" collapsed="false">
      <c r="A254" s="33" t="n">
        <v>252</v>
      </c>
      <c r="B254" s="33" t="n">
        <f aca="false">ROUNDUP(A254/12,0)</f>
        <v>21</v>
      </c>
      <c r="C254" s="34" t="n">
        <f aca="false">F253</f>
        <v>835587.457689305</v>
      </c>
      <c r="D254" s="34" t="n">
        <f aca="false">APORTE</f>
        <v>1000</v>
      </c>
      <c r="E254" s="34" t="n">
        <f aca="false">C254*TAXA_MENSAL</f>
        <v>6684.69966151444</v>
      </c>
      <c r="F254" s="34" t="n">
        <f aca="false">C254+D254+E254</f>
        <v>843272.15735082</v>
      </c>
      <c r="G254" s="34" t="n">
        <f aca="false">F254*DY_MENSAL</f>
        <v>5902.90510145574</v>
      </c>
      <c r="H254" s="34" t="n">
        <f aca="false">H253+D254</f>
        <v>257000</v>
      </c>
    </row>
    <row r="255" customFormat="false" ht="15" hidden="false" customHeight="false" outlineLevel="0" collapsed="false">
      <c r="A255" s="31" t="n">
        <v>253</v>
      </c>
      <c r="B255" s="31" t="n">
        <f aca="false">ROUNDUP(A255/12,0)</f>
        <v>22</v>
      </c>
      <c r="C255" s="32" t="n">
        <f aca="false">F254</f>
        <v>843272.15735082</v>
      </c>
      <c r="D255" s="32" t="n">
        <f aca="false">APORTE</f>
        <v>1000</v>
      </c>
      <c r="E255" s="32" t="n">
        <f aca="false">C255*TAXA_MENSAL</f>
        <v>6746.17725880656</v>
      </c>
      <c r="F255" s="32" t="n">
        <f aca="false">C255+D255+E255</f>
        <v>851018.334609626</v>
      </c>
      <c r="G255" s="32" t="n">
        <f aca="false">F255*DY_MENSAL</f>
        <v>5957.12834226739</v>
      </c>
      <c r="H255" s="32" t="n">
        <f aca="false">H254+D255</f>
        <v>258000</v>
      </c>
    </row>
    <row r="256" customFormat="false" ht="15" hidden="false" customHeight="false" outlineLevel="0" collapsed="false">
      <c r="A256" s="33" t="n">
        <v>254</v>
      </c>
      <c r="B256" s="33" t="n">
        <f aca="false">ROUNDUP(A256/12,0)</f>
        <v>22</v>
      </c>
      <c r="C256" s="34" t="n">
        <f aca="false">F255</f>
        <v>851018.334609626</v>
      </c>
      <c r="D256" s="34" t="n">
        <f aca="false">APORTE</f>
        <v>1000</v>
      </c>
      <c r="E256" s="34" t="n">
        <f aca="false">C256*TAXA_MENSAL</f>
        <v>6808.14667687701</v>
      </c>
      <c r="F256" s="34" t="n">
        <f aca="false">C256+D256+E256</f>
        <v>858826.481286504</v>
      </c>
      <c r="G256" s="34" t="n">
        <f aca="false">F256*DY_MENSAL</f>
        <v>6011.78536900552</v>
      </c>
      <c r="H256" s="34" t="n">
        <f aca="false">H255+D256</f>
        <v>259000</v>
      </c>
    </row>
    <row r="257" customFormat="false" ht="15" hidden="false" customHeight="false" outlineLevel="0" collapsed="false">
      <c r="A257" s="31" t="n">
        <v>255</v>
      </c>
      <c r="B257" s="31" t="n">
        <f aca="false">ROUNDUP(A257/12,0)</f>
        <v>22</v>
      </c>
      <c r="C257" s="32" t="n">
        <f aca="false">F256</f>
        <v>858826.481286504</v>
      </c>
      <c r="D257" s="32" t="n">
        <f aca="false">APORTE</f>
        <v>1000</v>
      </c>
      <c r="E257" s="32" t="n">
        <f aca="false">C257*TAXA_MENSAL</f>
        <v>6870.61185029203</v>
      </c>
      <c r="F257" s="32" t="n">
        <f aca="false">C257+D257+E257</f>
        <v>866697.093136796</v>
      </c>
      <c r="G257" s="32" t="n">
        <f aca="false">F257*DY_MENSAL</f>
        <v>6066.87965195757</v>
      </c>
      <c r="H257" s="32" t="n">
        <f aca="false">H256+D257</f>
        <v>260000</v>
      </c>
    </row>
    <row r="258" customFormat="false" ht="15" hidden="false" customHeight="false" outlineLevel="0" collapsed="false">
      <c r="A258" s="33" t="n">
        <v>256</v>
      </c>
      <c r="B258" s="33" t="n">
        <f aca="false">ROUNDUP(A258/12,0)</f>
        <v>22</v>
      </c>
      <c r="C258" s="34" t="n">
        <f aca="false">F257</f>
        <v>866697.093136796</v>
      </c>
      <c r="D258" s="34" t="n">
        <f aca="false">APORTE</f>
        <v>1000</v>
      </c>
      <c r="E258" s="34" t="n">
        <f aca="false">C258*TAXA_MENSAL</f>
        <v>6933.57674509437</v>
      </c>
      <c r="F258" s="34" t="n">
        <f aca="false">C258+D258+E258</f>
        <v>874630.66988189</v>
      </c>
      <c r="G258" s="34" t="n">
        <f aca="false">F258*DY_MENSAL</f>
        <v>6122.41468917323</v>
      </c>
      <c r="H258" s="34" t="n">
        <f aca="false">H257+D258</f>
        <v>261000</v>
      </c>
    </row>
    <row r="259" customFormat="false" ht="15" hidden="false" customHeight="false" outlineLevel="0" collapsed="false">
      <c r="A259" s="31" t="n">
        <v>257</v>
      </c>
      <c r="B259" s="31" t="n">
        <f aca="false">ROUNDUP(A259/12,0)</f>
        <v>22</v>
      </c>
      <c r="C259" s="32" t="n">
        <f aca="false">F258</f>
        <v>874630.66988189</v>
      </c>
      <c r="D259" s="32" t="n">
        <f aca="false">APORTE</f>
        <v>1000</v>
      </c>
      <c r="E259" s="32" t="n">
        <f aca="false">C259*TAXA_MENSAL</f>
        <v>6997.04535905512</v>
      </c>
      <c r="F259" s="32" t="n">
        <f aca="false">C259+D259+E259</f>
        <v>882627.715240945</v>
      </c>
      <c r="G259" s="32" t="n">
        <f aca="false">F259*DY_MENSAL</f>
        <v>6178.39400668662</v>
      </c>
      <c r="H259" s="32" t="n">
        <f aca="false">H258+D259</f>
        <v>262000</v>
      </c>
    </row>
    <row r="260" customFormat="false" ht="15" hidden="false" customHeight="false" outlineLevel="0" collapsed="false">
      <c r="A260" s="33" t="n">
        <v>258</v>
      </c>
      <c r="B260" s="33" t="n">
        <f aca="false">ROUNDUP(A260/12,0)</f>
        <v>22</v>
      </c>
      <c r="C260" s="34" t="n">
        <f aca="false">F259</f>
        <v>882627.715240945</v>
      </c>
      <c r="D260" s="34" t="n">
        <f aca="false">APORTE</f>
        <v>1000</v>
      </c>
      <c r="E260" s="34" t="n">
        <f aca="false">C260*TAXA_MENSAL</f>
        <v>7061.02172192756</v>
      </c>
      <c r="F260" s="34" t="n">
        <f aca="false">C260+D260+E260</f>
        <v>890688.736962873</v>
      </c>
      <c r="G260" s="34" t="n">
        <f aca="false">F260*DY_MENSAL</f>
        <v>6234.82115874011</v>
      </c>
      <c r="H260" s="34" t="n">
        <f aca="false">H259+D260</f>
        <v>263000</v>
      </c>
    </row>
    <row r="261" customFormat="false" ht="15" hidden="false" customHeight="false" outlineLevel="0" collapsed="false">
      <c r="A261" s="31" t="n">
        <v>259</v>
      </c>
      <c r="B261" s="31" t="n">
        <f aca="false">ROUNDUP(A261/12,0)</f>
        <v>22</v>
      </c>
      <c r="C261" s="32" t="n">
        <f aca="false">F260</f>
        <v>890688.736962873</v>
      </c>
      <c r="D261" s="32" t="n">
        <f aca="false">APORTE</f>
        <v>1000</v>
      </c>
      <c r="E261" s="32" t="n">
        <f aca="false">C261*TAXA_MENSAL</f>
        <v>7125.50989570298</v>
      </c>
      <c r="F261" s="32" t="n">
        <f aca="false">C261+D261+E261</f>
        <v>898814.246858576</v>
      </c>
      <c r="G261" s="32" t="n">
        <f aca="false">F261*DY_MENSAL</f>
        <v>6291.69972801003</v>
      </c>
      <c r="H261" s="32" t="n">
        <f aca="false">H260+D261</f>
        <v>264000</v>
      </c>
    </row>
    <row r="262" customFormat="false" ht="15" hidden="false" customHeight="false" outlineLevel="0" collapsed="false">
      <c r="A262" s="33" t="n">
        <v>260</v>
      </c>
      <c r="B262" s="33" t="n">
        <f aca="false">ROUNDUP(A262/12,0)</f>
        <v>22</v>
      </c>
      <c r="C262" s="34" t="n">
        <f aca="false">F261</f>
        <v>898814.246858576</v>
      </c>
      <c r="D262" s="34" t="n">
        <f aca="false">APORTE</f>
        <v>1000</v>
      </c>
      <c r="E262" s="34" t="n">
        <f aca="false">C262*TAXA_MENSAL</f>
        <v>7190.51397486861</v>
      </c>
      <c r="F262" s="34" t="n">
        <f aca="false">C262+D262+E262</f>
        <v>907004.760833444</v>
      </c>
      <c r="G262" s="34" t="n">
        <f aca="false">F262*DY_MENSAL</f>
        <v>6349.03332583411</v>
      </c>
      <c r="H262" s="34" t="n">
        <f aca="false">H261+D262</f>
        <v>265000</v>
      </c>
    </row>
    <row r="263" customFormat="false" ht="15" hidden="false" customHeight="false" outlineLevel="0" collapsed="false">
      <c r="A263" s="31" t="n">
        <v>261</v>
      </c>
      <c r="B263" s="31" t="n">
        <f aca="false">ROUNDUP(A263/12,0)</f>
        <v>22</v>
      </c>
      <c r="C263" s="32" t="n">
        <f aca="false">F262</f>
        <v>907004.760833444</v>
      </c>
      <c r="D263" s="32" t="n">
        <f aca="false">APORTE</f>
        <v>1000</v>
      </c>
      <c r="E263" s="32" t="n">
        <f aca="false">C263*TAXA_MENSAL</f>
        <v>7256.03808666755</v>
      </c>
      <c r="F263" s="32" t="n">
        <f aca="false">C263+D263+E263</f>
        <v>915260.798920112</v>
      </c>
      <c r="G263" s="32" t="n">
        <f aca="false">F263*DY_MENSAL</f>
        <v>6406.82559244078</v>
      </c>
      <c r="H263" s="32" t="n">
        <f aca="false">H262+D263</f>
        <v>266000</v>
      </c>
    </row>
    <row r="264" customFormat="false" ht="15" hidden="false" customHeight="false" outlineLevel="0" collapsed="false">
      <c r="A264" s="33" t="n">
        <v>262</v>
      </c>
      <c r="B264" s="33" t="n">
        <f aca="false">ROUNDUP(A264/12,0)</f>
        <v>22</v>
      </c>
      <c r="C264" s="34" t="n">
        <f aca="false">F263</f>
        <v>915260.798920112</v>
      </c>
      <c r="D264" s="34" t="n">
        <f aca="false">APORTE</f>
        <v>1000</v>
      </c>
      <c r="E264" s="34" t="n">
        <f aca="false">C264*TAXA_MENSAL</f>
        <v>7322.08639136089</v>
      </c>
      <c r="F264" s="34" t="n">
        <f aca="false">C264+D264+E264</f>
        <v>923582.885311473</v>
      </c>
      <c r="G264" s="34" t="n">
        <f aca="false">F264*DY_MENSAL</f>
        <v>6465.08019718031</v>
      </c>
      <c r="H264" s="34" t="n">
        <f aca="false">H263+D264</f>
        <v>267000</v>
      </c>
    </row>
    <row r="265" customFormat="false" ht="15" hidden="false" customHeight="false" outlineLevel="0" collapsed="false">
      <c r="A265" s="31" t="n">
        <v>263</v>
      </c>
      <c r="B265" s="31" t="n">
        <f aca="false">ROUNDUP(A265/12,0)</f>
        <v>22</v>
      </c>
      <c r="C265" s="32" t="n">
        <f aca="false">F264</f>
        <v>923582.885311473</v>
      </c>
      <c r="D265" s="32" t="n">
        <f aca="false">APORTE</f>
        <v>1000</v>
      </c>
      <c r="E265" s="32" t="n">
        <f aca="false">C265*TAXA_MENSAL</f>
        <v>7388.66308249178</v>
      </c>
      <c r="F265" s="32" t="n">
        <f aca="false">C265+D265+E265</f>
        <v>931971.548393964</v>
      </c>
      <c r="G265" s="32" t="n">
        <f aca="false">F265*DY_MENSAL</f>
        <v>6523.80083875775</v>
      </c>
      <c r="H265" s="32" t="n">
        <f aca="false">H264+D265</f>
        <v>268000</v>
      </c>
    </row>
    <row r="266" customFormat="false" ht="15" hidden="false" customHeight="false" outlineLevel="0" collapsed="false">
      <c r="A266" s="33" t="n">
        <v>264</v>
      </c>
      <c r="B266" s="33" t="n">
        <f aca="false">ROUNDUP(A266/12,0)</f>
        <v>22</v>
      </c>
      <c r="C266" s="34" t="n">
        <f aca="false">F265</f>
        <v>931971.548393964</v>
      </c>
      <c r="D266" s="34" t="n">
        <f aca="false">APORTE</f>
        <v>1000</v>
      </c>
      <c r="E266" s="34" t="n">
        <f aca="false">C266*TAXA_MENSAL</f>
        <v>7455.77238715172</v>
      </c>
      <c r="F266" s="34" t="n">
        <f aca="false">C266+D266+E266</f>
        <v>940427.320781116</v>
      </c>
      <c r="G266" s="34" t="n">
        <f aca="false">F266*DY_MENSAL</f>
        <v>6582.99124546781</v>
      </c>
      <c r="H266" s="34" t="n">
        <f aca="false">H265+D266</f>
        <v>269000</v>
      </c>
    </row>
    <row r="267" customFormat="false" ht="15" hidden="false" customHeight="false" outlineLevel="0" collapsed="false">
      <c r="A267" s="31" t="n">
        <v>265</v>
      </c>
      <c r="B267" s="31" t="n">
        <f aca="false">ROUNDUP(A267/12,0)</f>
        <v>23</v>
      </c>
      <c r="C267" s="32" t="n">
        <f aca="false">F266</f>
        <v>940427.320781116</v>
      </c>
      <c r="D267" s="32" t="n">
        <f aca="false">APORTE</f>
        <v>1000</v>
      </c>
      <c r="E267" s="32" t="n">
        <f aca="false">C267*TAXA_MENSAL</f>
        <v>7523.41856624893</v>
      </c>
      <c r="F267" s="32" t="n">
        <f aca="false">C267+D267+E267</f>
        <v>948950.739347365</v>
      </c>
      <c r="G267" s="32" t="n">
        <f aca="false">F267*DY_MENSAL</f>
        <v>6642.65517543156</v>
      </c>
      <c r="H267" s="32" t="n">
        <f aca="false">H266+D267</f>
        <v>270000</v>
      </c>
    </row>
    <row r="268" customFormat="false" ht="15" hidden="false" customHeight="false" outlineLevel="0" collapsed="false">
      <c r="A268" s="33" t="n">
        <v>266</v>
      </c>
      <c r="B268" s="33" t="n">
        <f aca="false">ROUNDUP(A268/12,0)</f>
        <v>23</v>
      </c>
      <c r="C268" s="34" t="n">
        <f aca="false">F267</f>
        <v>948950.739347365</v>
      </c>
      <c r="D268" s="34" t="n">
        <f aca="false">APORTE</f>
        <v>1000</v>
      </c>
      <c r="E268" s="34" t="n">
        <f aca="false">C268*TAXA_MENSAL</f>
        <v>7591.60591477892</v>
      </c>
      <c r="F268" s="34" t="n">
        <f aca="false">C268+D268+E268</f>
        <v>957542.345262144</v>
      </c>
      <c r="G268" s="34" t="n">
        <f aca="false">F268*DY_MENSAL</f>
        <v>6702.79641683501</v>
      </c>
      <c r="H268" s="34" t="n">
        <f aca="false">H267+D268</f>
        <v>271000</v>
      </c>
    </row>
    <row r="269" customFormat="false" ht="15" hidden="false" customHeight="false" outlineLevel="0" collapsed="false">
      <c r="A269" s="31" t="n">
        <v>267</v>
      </c>
      <c r="B269" s="31" t="n">
        <f aca="false">ROUNDUP(A269/12,0)</f>
        <v>23</v>
      </c>
      <c r="C269" s="32" t="n">
        <f aca="false">F268</f>
        <v>957542.345262144</v>
      </c>
      <c r="D269" s="32" t="n">
        <f aca="false">APORTE</f>
        <v>1000</v>
      </c>
      <c r="E269" s="32" t="n">
        <f aca="false">C269*TAXA_MENSAL</f>
        <v>7660.33876209715</v>
      </c>
      <c r="F269" s="32" t="n">
        <f aca="false">C269+D269+E269</f>
        <v>966202.684024241</v>
      </c>
      <c r="G269" s="32" t="n">
        <f aca="false">F269*DY_MENSAL</f>
        <v>6763.41878816969</v>
      </c>
      <c r="H269" s="32" t="n">
        <f aca="false">H268+D269</f>
        <v>272000</v>
      </c>
    </row>
    <row r="270" customFormat="false" ht="15" hidden="false" customHeight="false" outlineLevel="0" collapsed="false">
      <c r="A270" s="33" t="n">
        <v>268</v>
      </c>
      <c r="B270" s="33" t="n">
        <f aca="false">ROUNDUP(A270/12,0)</f>
        <v>23</v>
      </c>
      <c r="C270" s="34" t="n">
        <f aca="false">F269</f>
        <v>966202.684024241</v>
      </c>
      <c r="D270" s="34" t="n">
        <f aca="false">APORTE</f>
        <v>1000</v>
      </c>
      <c r="E270" s="34" t="n">
        <f aca="false">C270*TAXA_MENSAL</f>
        <v>7729.62147219393</v>
      </c>
      <c r="F270" s="34" t="n">
        <f aca="false">C270+D270+E270</f>
        <v>974932.305496435</v>
      </c>
      <c r="G270" s="34" t="n">
        <f aca="false">F270*DY_MENSAL</f>
        <v>6824.52613847505</v>
      </c>
      <c r="H270" s="34" t="n">
        <f aca="false">H269+D270</f>
        <v>273000</v>
      </c>
    </row>
    <row r="271" customFormat="false" ht="15" hidden="false" customHeight="false" outlineLevel="0" collapsed="false">
      <c r="A271" s="31" t="n">
        <v>269</v>
      </c>
      <c r="B271" s="31" t="n">
        <f aca="false">ROUNDUP(A271/12,0)</f>
        <v>23</v>
      </c>
      <c r="C271" s="32" t="n">
        <f aca="false">F270</f>
        <v>974932.305496435</v>
      </c>
      <c r="D271" s="32" t="n">
        <f aca="false">APORTE</f>
        <v>1000</v>
      </c>
      <c r="E271" s="32" t="n">
        <f aca="false">C271*TAXA_MENSAL</f>
        <v>7799.45844397148</v>
      </c>
      <c r="F271" s="32" t="n">
        <f aca="false">C271+D271+E271</f>
        <v>983731.763940407</v>
      </c>
      <c r="G271" s="32" t="n">
        <f aca="false">F271*DY_MENSAL</f>
        <v>6886.12234758285</v>
      </c>
      <c r="H271" s="32" t="n">
        <f aca="false">H270+D271</f>
        <v>274000</v>
      </c>
    </row>
    <row r="272" customFormat="false" ht="15" hidden="false" customHeight="false" outlineLevel="0" collapsed="false">
      <c r="A272" s="33" t="n">
        <v>270</v>
      </c>
      <c r="B272" s="33" t="n">
        <f aca="false">ROUNDUP(A272/12,0)</f>
        <v>23</v>
      </c>
      <c r="C272" s="34" t="n">
        <f aca="false">F271</f>
        <v>983731.763940407</v>
      </c>
      <c r="D272" s="34" t="n">
        <f aca="false">APORTE</f>
        <v>1000</v>
      </c>
      <c r="E272" s="34" t="n">
        <f aca="false">C272*TAXA_MENSAL</f>
        <v>7869.85411152325</v>
      </c>
      <c r="F272" s="34" t="n">
        <f aca="false">C272+D272+E272</f>
        <v>992601.61805193</v>
      </c>
      <c r="G272" s="34" t="n">
        <f aca="false">F272*DY_MENSAL</f>
        <v>6948.21132636351</v>
      </c>
      <c r="H272" s="34" t="n">
        <f aca="false">H271+D272</f>
        <v>275000</v>
      </c>
    </row>
    <row r="273" customFormat="false" ht="15" hidden="false" customHeight="false" outlineLevel="0" collapsed="false">
      <c r="A273" s="31" t="n">
        <v>271</v>
      </c>
      <c r="B273" s="31" t="n">
        <f aca="false">ROUNDUP(A273/12,0)</f>
        <v>23</v>
      </c>
      <c r="C273" s="32" t="n">
        <f aca="false">F272</f>
        <v>992601.61805193</v>
      </c>
      <c r="D273" s="32" t="n">
        <f aca="false">APORTE</f>
        <v>1000</v>
      </c>
      <c r="E273" s="32" t="n">
        <f aca="false">C273*TAXA_MENSAL</f>
        <v>7940.81294441544</v>
      </c>
      <c r="F273" s="32" t="n">
        <f aca="false">C273+D273+E273</f>
        <v>1001542.43099635</v>
      </c>
      <c r="G273" s="32" t="n">
        <f aca="false">F273*DY_MENSAL</f>
        <v>7010.79701697442</v>
      </c>
      <c r="H273" s="32" t="n">
        <f aca="false">H272+D273</f>
        <v>276000</v>
      </c>
    </row>
    <row r="274" customFormat="false" ht="15" hidden="false" customHeight="false" outlineLevel="0" collapsed="false">
      <c r="A274" s="33" t="n">
        <v>272</v>
      </c>
      <c r="B274" s="33" t="n">
        <f aca="false">ROUNDUP(A274/12,0)</f>
        <v>23</v>
      </c>
      <c r="C274" s="34" t="n">
        <f aca="false">F273</f>
        <v>1001542.43099635</v>
      </c>
      <c r="D274" s="34" t="n">
        <f aca="false">APORTE</f>
        <v>1000</v>
      </c>
      <c r="E274" s="34" t="n">
        <f aca="false">C274*TAXA_MENSAL</f>
        <v>8012.33944797076</v>
      </c>
      <c r="F274" s="34" t="n">
        <f aca="false">C274+D274+E274</f>
        <v>1010554.77044432</v>
      </c>
      <c r="G274" s="34" t="n">
        <f aca="false">F274*DY_MENSAL</f>
        <v>7073.88339311021</v>
      </c>
      <c r="H274" s="34" t="n">
        <f aca="false">H273+D274</f>
        <v>277000</v>
      </c>
    </row>
    <row r="275" customFormat="false" ht="15" hidden="false" customHeight="false" outlineLevel="0" collapsed="false">
      <c r="A275" s="31" t="n">
        <v>273</v>
      </c>
      <c r="B275" s="31" t="n">
        <f aca="false">ROUNDUP(A275/12,0)</f>
        <v>23</v>
      </c>
      <c r="C275" s="32" t="n">
        <f aca="false">F274</f>
        <v>1010554.77044432</v>
      </c>
      <c r="D275" s="32" t="n">
        <f aca="false">APORTE</f>
        <v>1000</v>
      </c>
      <c r="E275" s="32" t="n">
        <f aca="false">C275*TAXA_MENSAL</f>
        <v>8084.43816355453</v>
      </c>
      <c r="F275" s="32" t="n">
        <f aca="false">C275+D275+E275</f>
        <v>1019639.20860787</v>
      </c>
      <c r="G275" s="32" t="n">
        <f aca="false">F275*DY_MENSAL</f>
        <v>7137.47446025509</v>
      </c>
      <c r="H275" s="32" t="n">
        <f aca="false">H274+D275</f>
        <v>278000</v>
      </c>
    </row>
    <row r="276" customFormat="false" ht="15" hidden="false" customHeight="false" outlineLevel="0" collapsed="false">
      <c r="A276" s="33" t="n">
        <v>274</v>
      </c>
      <c r="B276" s="33" t="n">
        <f aca="false">ROUNDUP(A276/12,0)</f>
        <v>23</v>
      </c>
      <c r="C276" s="34" t="n">
        <f aca="false">F275</f>
        <v>1019639.20860787</v>
      </c>
      <c r="D276" s="34" t="n">
        <f aca="false">APORTE</f>
        <v>1000</v>
      </c>
      <c r="E276" s="34" t="n">
        <f aca="false">C276*TAXA_MENSAL</f>
        <v>8157.11366886296</v>
      </c>
      <c r="F276" s="34" t="n">
        <f aca="false">C276+D276+E276</f>
        <v>1028796.32227673</v>
      </c>
      <c r="G276" s="34" t="n">
        <f aca="false">F276*DY_MENSAL</f>
        <v>7201.57425593714</v>
      </c>
      <c r="H276" s="34" t="n">
        <f aca="false">H275+D276</f>
        <v>279000</v>
      </c>
    </row>
    <row r="277" customFormat="false" ht="15" hidden="false" customHeight="false" outlineLevel="0" collapsed="false">
      <c r="A277" s="31" t="n">
        <v>275</v>
      </c>
      <c r="B277" s="31" t="n">
        <f aca="false">ROUNDUP(A277/12,0)</f>
        <v>23</v>
      </c>
      <c r="C277" s="32" t="n">
        <f aca="false">F276</f>
        <v>1028796.32227673</v>
      </c>
      <c r="D277" s="32" t="n">
        <f aca="false">APORTE</f>
        <v>1000</v>
      </c>
      <c r="E277" s="32" t="n">
        <f aca="false">C277*TAXA_MENSAL</f>
        <v>8230.37057821387</v>
      </c>
      <c r="F277" s="32" t="n">
        <f aca="false">C277+D277+E277</f>
        <v>1038026.69285495</v>
      </c>
      <c r="G277" s="32" t="n">
        <f aca="false">F277*DY_MENSAL</f>
        <v>7266.18684998463</v>
      </c>
      <c r="H277" s="32" t="n">
        <f aca="false">H276+D277</f>
        <v>280000</v>
      </c>
    </row>
    <row r="278" customFormat="false" ht="15" hidden="false" customHeight="false" outlineLevel="0" collapsed="false">
      <c r="A278" s="33" t="n">
        <v>276</v>
      </c>
      <c r="B278" s="33" t="n">
        <f aca="false">ROUNDUP(A278/12,0)</f>
        <v>23</v>
      </c>
      <c r="C278" s="34" t="n">
        <f aca="false">F277</f>
        <v>1038026.69285495</v>
      </c>
      <c r="D278" s="34" t="n">
        <f aca="false">APORTE</f>
        <v>1000</v>
      </c>
      <c r="E278" s="34" t="n">
        <f aca="false">C278*TAXA_MENSAL</f>
        <v>8304.21354283958</v>
      </c>
      <c r="F278" s="34" t="n">
        <f aca="false">C278+D278+E278</f>
        <v>1047330.90639779</v>
      </c>
      <c r="G278" s="34" t="n">
        <f aca="false">F278*DY_MENSAL</f>
        <v>7331.31634478451</v>
      </c>
      <c r="H278" s="34" t="n">
        <f aca="false">H277+D278</f>
        <v>281000</v>
      </c>
    </row>
    <row r="279" customFormat="false" ht="15" hidden="false" customHeight="false" outlineLevel="0" collapsed="false">
      <c r="A279" s="31" t="n">
        <v>277</v>
      </c>
      <c r="B279" s="31" t="n">
        <f aca="false">ROUNDUP(A279/12,0)</f>
        <v>24</v>
      </c>
      <c r="C279" s="32" t="n">
        <f aca="false">F278</f>
        <v>1047330.90639779</v>
      </c>
      <c r="D279" s="32" t="n">
        <f aca="false">APORTE</f>
        <v>1000</v>
      </c>
      <c r="E279" s="32" t="n">
        <f aca="false">C279*TAXA_MENSAL</f>
        <v>8378.6472511823</v>
      </c>
      <c r="F279" s="32" t="n">
        <f aca="false">C279+D279+E279</f>
        <v>1056709.55364897</v>
      </c>
      <c r="G279" s="32" t="n">
        <f aca="false">F279*DY_MENSAL</f>
        <v>7396.96687554279</v>
      </c>
      <c r="H279" s="32" t="n">
        <f aca="false">H278+D279</f>
        <v>282000</v>
      </c>
    </row>
    <row r="280" customFormat="false" ht="15" hidden="false" customHeight="false" outlineLevel="0" collapsed="false">
      <c r="A280" s="33" t="n">
        <v>278</v>
      </c>
      <c r="B280" s="33" t="n">
        <f aca="false">ROUNDUP(A280/12,0)</f>
        <v>24</v>
      </c>
      <c r="C280" s="34" t="n">
        <f aca="false">F279</f>
        <v>1056709.55364897</v>
      </c>
      <c r="D280" s="34" t="n">
        <f aca="false">APORTE</f>
        <v>1000</v>
      </c>
      <c r="E280" s="34" t="n">
        <f aca="false">C280*TAXA_MENSAL</f>
        <v>8453.67642919175</v>
      </c>
      <c r="F280" s="34" t="n">
        <f aca="false">C280+D280+E280</f>
        <v>1066163.23007816</v>
      </c>
      <c r="G280" s="34" t="n">
        <f aca="false">F280*DY_MENSAL</f>
        <v>7463.14261054713</v>
      </c>
      <c r="H280" s="34" t="n">
        <f aca="false">H279+D280</f>
        <v>283000</v>
      </c>
    </row>
    <row r="281" customFormat="false" ht="15" hidden="false" customHeight="false" outlineLevel="0" collapsed="false">
      <c r="A281" s="31" t="n">
        <v>279</v>
      </c>
      <c r="B281" s="31" t="n">
        <f aca="false">ROUNDUP(A281/12,0)</f>
        <v>24</v>
      </c>
      <c r="C281" s="32" t="n">
        <f aca="false">F280</f>
        <v>1066163.23007816</v>
      </c>
      <c r="D281" s="32" t="n">
        <f aca="false">APORTE</f>
        <v>1000</v>
      </c>
      <c r="E281" s="32" t="n">
        <f aca="false">C281*TAXA_MENSAL</f>
        <v>8529.30584062529</v>
      </c>
      <c r="F281" s="32" t="n">
        <f aca="false">C281+D281+E281</f>
        <v>1075692.53591879</v>
      </c>
      <c r="G281" s="32" t="n">
        <f aca="false">F281*DY_MENSAL</f>
        <v>7529.8477514315</v>
      </c>
      <c r="H281" s="32" t="n">
        <f aca="false">H280+D281</f>
        <v>284000</v>
      </c>
    </row>
    <row r="282" customFormat="false" ht="15" hidden="false" customHeight="false" outlineLevel="0" collapsed="false">
      <c r="A282" s="33" t="n">
        <v>280</v>
      </c>
      <c r="B282" s="33" t="n">
        <f aca="false">ROUNDUP(A282/12,0)</f>
        <v>24</v>
      </c>
      <c r="C282" s="34" t="n">
        <f aca="false">F281</f>
        <v>1075692.53591879</v>
      </c>
      <c r="D282" s="34" t="n">
        <f aca="false">APORTE</f>
        <v>1000</v>
      </c>
      <c r="E282" s="34" t="n">
        <f aca="false">C282*TAXA_MENSAL</f>
        <v>8605.54028735029</v>
      </c>
      <c r="F282" s="34" t="n">
        <f aca="false">C282+D282+E282</f>
        <v>1085298.07620614</v>
      </c>
      <c r="G282" s="34" t="n">
        <f aca="false">F282*DY_MENSAL</f>
        <v>7597.08653344296</v>
      </c>
      <c r="H282" s="34" t="n">
        <f aca="false">H281+D282</f>
        <v>285000</v>
      </c>
    </row>
    <row r="283" customFormat="false" ht="15" hidden="false" customHeight="false" outlineLevel="0" collapsed="false">
      <c r="A283" s="31" t="n">
        <v>281</v>
      </c>
      <c r="B283" s="31" t="n">
        <f aca="false">ROUNDUP(A283/12,0)</f>
        <v>24</v>
      </c>
      <c r="C283" s="32" t="n">
        <f aca="false">F282</f>
        <v>1085298.07620614</v>
      </c>
      <c r="D283" s="32" t="n">
        <f aca="false">APORTE</f>
        <v>1000</v>
      </c>
      <c r="E283" s="32" t="n">
        <f aca="false">C283*TAXA_MENSAL</f>
        <v>8682.38460964909</v>
      </c>
      <c r="F283" s="32" t="n">
        <f aca="false">C283+D283+E283</f>
        <v>1094980.46081579</v>
      </c>
      <c r="G283" s="32" t="n">
        <f aca="false">F283*DY_MENSAL</f>
        <v>7664.8632257105</v>
      </c>
      <c r="H283" s="32" t="n">
        <f aca="false">H282+D283</f>
        <v>286000</v>
      </c>
    </row>
    <row r="284" customFormat="false" ht="15" hidden="false" customHeight="false" outlineLevel="0" collapsed="false">
      <c r="A284" s="33" t="n">
        <v>282</v>
      </c>
      <c r="B284" s="33" t="n">
        <f aca="false">ROUNDUP(A284/12,0)</f>
        <v>24</v>
      </c>
      <c r="C284" s="34" t="n">
        <f aca="false">F283</f>
        <v>1094980.46081579</v>
      </c>
      <c r="D284" s="34" t="n">
        <f aca="false">APORTE</f>
        <v>1000</v>
      </c>
      <c r="E284" s="34" t="n">
        <f aca="false">C284*TAXA_MENSAL</f>
        <v>8759.84368652629</v>
      </c>
      <c r="F284" s="34" t="n">
        <f aca="false">C284+D284+E284</f>
        <v>1104740.30450231</v>
      </c>
      <c r="G284" s="34" t="n">
        <f aca="false">F284*DY_MENSAL</f>
        <v>7733.18213151618</v>
      </c>
      <c r="H284" s="34" t="n">
        <f aca="false">H283+D284</f>
        <v>287000</v>
      </c>
    </row>
    <row r="285" customFormat="false" ht="15" hidden="false" customHeight="false" outlineLevel="0" collapsed="false">
      <c r="A285" s="31" t="n">
        <v>283</v>
      </c>
      <c r="B285" s="31" t="n">
        <f aca="false">ROUNDUP(A285/12,0)</f>
        <v>24</v>
      </c>
      <c r="C285" s="32" t="n">
        <f aca="false">F284</f>
        <v>1104740.30450231</v>
      </c>
      <c r="D285" s="32" t="n">
        <f aca="false">APORTE</f>
        <v>1000</v>
      </c>
      <c r="E285" s="32" t="n">
        <f aca="false">C285*TAXA_MENSAL</f>
        <v>8837.92243601849</v>
      </c>
      <c r="F285" s="32" t="n">
        <f aca="false">C285+D285+E285</f>
        <v>1114578.22693833</v>
      </c>
      <c r="G285" s="32" t="n">
        <f aca="false">F285*DY_MENSAL</f>
        <v>7802.04758856831</v>
      </c>
      <c r="H285" s="32" t="n">
        <f aca="false">H284+D285</f>
        <v>288000</v>
      </c>
    </row>
    <row r="286" customFormat="false" ht="15" hidden="false" customHeight="false" outlineLevel="0" collapsed="false">
      <c r="A286" s="33" t="n">
        <v>284</v>
      </c>
      <c r="B286" s="33" t="n">
        <f aca="false">ROUNDUP(A286/12,0)</f>
        <v>24</v>
      </c>
      <c r="C286" s="34" t="n">
        <f aca="false">F285</f>
        <v>1114578.22693833</v>
      </c>
      <c r="D286" s="34" t="n">
        <f aca="false">APORTE</f>
        <v>1000</v>
      </c>
      <c r="E286" s="34" t="n">
        <f aca="false">C286*TAXA_MENSAL</f>
        <v>8916.62581550664</v>
      </c>
      <c r="F286" s="34" t="n">
        <f aca="false">C286+D286+E286</f>
        <v>1124494.85275384</v>
      </c>
      <c r="G286" s="34" t="n">
        <f aca="false">F286*DY_MENSAL</f>
        <v>7871.46396927686</v>
      </c>
      <c r="H286" s="34" t="n">
        <f aca="false">H285+D286</f>
        <v>289000</v>
      </c>
    </row>
    <row r="287" customFormat="false" ht="15" hidden="false" customHeight="false" outlineLevel="0" collapsed="false">
      <c r="A287" s="31" t="n">
        <v>285</v>
      </c>
      <c r="B287" s="31" t="n">
        <f aca="false">ROUNDUP(A287/12,0)</f>
        <v>24</v>
      </c>
      <c r="C287" s="32" t="n">
        <f aca="false">F286</f>
        <v>1124494.85275384</v>
      </c>
      <c r="D287" s="32" t="n">
        <f aca="false">APORTE</f>
        <v>1000</v>
      </c>
      <c r="E287" s="32" t="n">
        <f aca="false">C287*TAXA_MENSAL</f>
        <v>8995.9588220307</v>
      </c>
      <c r="F287" s="32" t="n">
        <f aca="false">C287+D287+E287</f>
        <v>1134490.81157587</v>
      </c>
      <c r="G287" s="32" t="n">
        <f aca="false">F287*DY_MENSAL</f>
        <v>7941.43568103107</v>
      </c>
      <c r="H287" s="32" t="n">
        <f aca="false">H286+D287</f>
        <v>290000</v>
      </c>
    </row>
    <row r="288" customFormat="false" ht="15" hidden="false" customHeight="false" outlineLevel="0" collapsed="false">
      <c r="A288" s="33" t="n">
        <v>286</v>
      </c>
      <c r="B288" s="33" t="n">
        <f aca="false">ROUNDUP(A288/12,0)</f>
        <v>24</v>
      </c>
      <c r="C288" s="34" t="n">
        <f aca="false">F287</f>
        <v>1134490.81157587</v>
      </c>
      <c r="D288" s="34" t="n">
        <f aca="false">APORTE</f>
        <v>1000</v>
      </c>
      <c r="E288" s="34" t="n">
        <f aca="false">C288*TAXA_MENSAL</f>
        <v>9075.92649260694</v>
      </c>
      <c r="F288" s="34" t="n">
        <f aca="false">C288+D288+E288</f>
        <v>1144566.73806847</v>
      </c>
      <c r="G288" s="34" t="n">
        <f aca="false">F288*DY_MENSAL</f>
        <v>8011.96716647932</v>
      </c>
      <c r="H288" s="34" t="n">
        <f aca="false">H287+D288</f>
        <v>291000</v>
      </c>
    </row>
    <row r="289" customFormat="false" ht="15" hidden="false" customHeight="false" outlineLevel="0" collapsed="false">
      <c r="A289" s="31" t="n">
        <v>287</v>
      </c>
      <c r="B289" s="31" t="n">
        <f aca="false">ROUNDUP(A289/12,0)</f>
        <v>24</v>
      </c>
      <c r="C289" s="32" t="n">
        <f aca="false">F288</f>
        <v>1144566.73806847</v>
      </c>
      <c r="D289" s="32" t="n">
        <f aca="false">APORTE</f>
        <v>1000</v>
      </c>
      <c r="E289" s="32" t="n">
        <f aca="false">C289*TAXA_MENSAL</f>
        <v>9156.5339045478</v>
      </c>
      <c r="F289" s="32" t="n">
        <f aca="false">C289+D289+E289</f>
        <v>1154723.27197302</v>
      </c>
      <c r="G289" s="32" t="n">
        <f aca="false">F289*DY_MENSAL</f>
        <v>8083.06290381116</v>
      </c>
      <c r="H289" s="32" t="n">
        <f aca="false">H288+D289</f>
        <v>292000</v>
      </c>
    </row>
    <row r="290" customFormat="false" ht="15" hidden="false" customHeight="false" outlineLevel="0" collapsed="false">
      <c r="A290" s="33" t="n">
        <v>288</v>
      </c>
      <c r="B290" s="33" t="n">
        <f aca="false">ROUNDUP(A290/12,0)</f>
        <v>24</v>
      </c>
      <c r="C290" s="34" t="n">
        <f aca="false">F289</f>
        <v>1154723.27197302</v>
      </c>
      <c r="D290" s="34" t="n">
        <f aca="false">APORTE</f>
        <v>1000</v>
      </c>
      <c r="E290" s="34" t="n">
        <f aca="false">C290*TAXA_MENSAL</f>
        <v>9237.78617578418</v>
      </c>
      <c r="F290" s="34" t="n">
        <f aca="false">C290+D290+E290</f>
        <v>1164961.05814881</v>
      </c>
      <c r="G290" s="34" t="n">
        <f aca="false">F290*DY_MENSAL</f>
        <v>8154.72740704165</v>
      </c>
      <c r="H290" s="34" t="n">
        <f aca="false">H289+D290</f>
        <v>293000</v>
      </c>
    </row>
    <row r="291" customFormat="false" ht="15" hidden="false" customHeight="false" outlineLevel="0" collapsed="false">
      <c r="A291" s="31" t="n">
        <v>289</v>
      </c>
      <c r="B291" s="31" t="n">
        <f aca="false">ROUNDUP(A291/12,0)</f>
        <v>25</v>
      </c>
      <c r="C291" s="32" t="n">
        <f aca="false">F290</f>
        <v>1164961.05814881</v>
      </c>
      <c r="D291" s="32" t="n">
        <f aca="false">APORTE</f>
        <v>1000</v>
      </c>
      <c r="E291" s="32" t="n">
        <f aca="false">C291*TAXA_MENSAL</f>
        <v>9319.68846519045</v>
      </c>
      <c r="F291" s="32" t="n">
        <f aca="false">C291+D291+E291</f>
        <v>1175280.746614</v>
      </c>
      <c r="G291" s="32" t="n">
        <f aca="false">F291*DY_MENSAL</f>
        <v>8226.96522629798</v>
      </c>
      <c r="H291" s="32" t="n">
        <f aca="false">H290+D291</f>
        <v>294000</v>
      </c>
    </row>
    <row r="292" customFormat="false" ht="15" hidden="false" customHeight="false" outlineLevel="0" collapsed="false">
      <c r="A292" s="33" t="n">
        <v>290</v>
      </c>
      <c r="B292" s="33" t="n">
        <f aca="false">ROUNDUP(A292/12,0)</f>
        <v>25</v>
      </c>
      <c r="C292" s="34" t="n">
        <f aca="false">F291</f>
        <v>1175280.746614</v>
      </c>
      <c r="D292" s="34" t="n">
        <f aca="false">APORTE</f>
        <v>1000</v>
      </c>
      <c r="E292" s="34" t="n">
        <f aca="false">C292*TAXA_MENSAL</f>
        <v>9402.24597291198</v>
      </c>
      <c r="F292" s="34" t="n">
        <f aca="false">C292+D292+E292</f>
        <v>1185682.99258691</v>
      </c>
      <c r="G292" s="34" t="n">
        <f aca="false">F292*DY_MENSAL</f>
        <v>8299.78094810836</v>
      </c>
      <c r="H292" s="34" t="n">
        <f aca="false">H291+D292</f>
        <v>295000</v>
      </c>
    </row>
    <row r="293" customFormat="false" ht="15" hidden="false" customHeight="false" outlineLevel="0" collapsed="false">
      <c r="A293" s="31" t="n">
        <v>291</v>
      </c>
      <c r="B293" s="31" t="n">
        <f aca="false">ROUNDUP(A293/12,0)</f>
        <v>25</v>
      </c>
      <c r="C293" s="32" t="n">
        <f aca="false">F292</f>
        <v>1185682.99258691</v>
      </c>
      <c r="D293" s="32" t="n">
        <f aca="false">APORTE</f>
        <v>1000</v>
      </c>
      <c r="E293" s="32" t="n">
        <f aca="false">C293*TAXA_MENSAL</f>
        <v>9485.46394069527</v>
      </c>
      <c r="F293" s="32" t="n">
        <f aca="false">C293+D293+E293</f>
        <v>1196168.4565276</v>
      </c>
      <c r="G293" s="32" t="n">
        <f aca="false">F293*DY_MENSAL</f>
        <v>8373.17919569323</v>
      </c>
      <c r="H293" s="32" t="n">
        <f aca="false">H292+D293</f>
        <v>296000</v>
      </c>
    </row>
    <row r="294" customFormat="false" ht="15" hidden="false" customHeight="false" outlineLevel="0" collapsed="false">
      <c r="A294" s="33" t="n">
        <v>292</v>
      </c>
      <c r="B294" s="33" t="n">
        <f aca="false">ROUNDUP(A294/12,0)</f>
        <v>25</v>
      </c>
      <c r="C294" s="34" t="n">
        <f aca="false">F293</f>
        <v>1196168.4565276</v>
      </c>
      <c r="D294" s="34" t="n">
        <f aca="false">APORTE</f>
        <v>1000</v>
      </c>
      <c r="E294" s="34" t="n">
        <f aca="false">C294*TAXA_MENSAL</f>
        <v>9569.34765222084</v>
      </c>
      <c r="F294" s="34" t="n">
        <f aca="false">C294+D294+E294</f>
        <v>1206737.80417983</v>
      </c>
      <c r="G294" s="34" t="n">
        <f aca="false">F294*DY_MENSAL</f>
        <v>8447.16462925878</v>
      </c>
      <c r="H294" s="34" t="n">
        <f aca="false">H293+D294</f>
        <v>297000</v>
      </c>
    </row>
    <row r="295" customFormat="false" ht="15" hidden="false" customHeight="false" outlineLevel="0" collapsed="false">
      <c r="A295" s="31" t="n">
        <v>293</v>
      </c>
      <c r="B295" s="31" t="n">
        <f aca="false">ROUNDUP(A295/12,0)</f>
        <v>25</v>
      </c>
      <c r="C295" s="32" t="n">
        <f aca="false">F294</f>
        <v>1206737.80417983</v>
      </c>
      <c r="D295" s="32" t="n">
        <f aca="false">APORTE</f>
        <v>1000</v>
      </c>
      <c r="E295" s="32" t="n">
        <f aca="false">C295*TAXA_MENSAL</f>
        <v>9653.9024334386</v>
      </c>
      <c r="F295" s="32" t="n">
        <f aca="false">C295+D295+E295</f>
        <v>1217391.70661326</v>
      </c>
      <c r="G295" s="32" t="n">
        <f aca="false">F295*DY_MENSAL</f>
        <v>8521.74194629285</v>
      </c>
      <c r="H295" s="32" t="n">
        <f aca="false">H294+D295</f>
        <v>298000</v>
      </c>
    </row>
    <row r="296" customFormat="false" ht="15" hidden="false" customHeight="false" outlineLevel="0" collapsed="false">
      <c r="A296" s="33" t="n">
        <v>294</v>
      </c>
      <c r="B296" s="33" t="n">
        <f aca="false">ROUNDUP(A296/12,0)</f>
        <v>25</v>
      </c>
      <c r="C296" s="34" t="n">
        <f aca="false">F295</f>
        <v>1217391.70661326</v>
      </c>
      <c r="D296" s="34" t="n">
        <f aca="false">APORTE</f>
        <v>1000</v>
      </c>
      <c r="E296" s="34" t="n">
        <f aca="false">C296*TAXA_MENSAL</f>
        <v>9739.13365290611</v>
      </c>
      <c r="F296" s="34" t="n">
        <f aca="false">C296+D296+E296</f>
        <v>1228130.84026617</v>
      </c>
      <c r="G296" s="34" t="n">
        <f aca="false">F296*DY_MENSAL</f>
        <v>8596.91588186319</v>
      </c>
      <c r="H296" s="34" t="n">
        <f aca="false">H295+D296</f>
        <v>299000</v>
      </c>
    </row>
    <row r="297" customFormat="false" ht="15" hidden="false" customHeight="false" outlineLevel="0" collapsed="false">
      <c r="A297" s="31" t="n">
        <v>295</v>
      </c>
      <c r="B297" s="31" t="n">
        <f aca="false">ROUNDUP(A297/12,0)</f>
        <v>25</v>
      </c>
      <c r="C297" s="32" t="n">
        <f aca="false">F296</f>
        <v>1228130.84026617</v>
      </c>
      <c r="D297" s="32" t="n">
        <f aca="false">APORTE</f>
        <v>1000</v>
      </c>
      <c r="E297" s="32" t="n">
        <f aca="false">C297*TAXA_MENSAL</f>
        <v>9825.04672212936</v>
      </c>
      <c r="F297" s="32" t="n">
        <f aca="false">C297+D297+E297</f>
        <v>1238955.8869883</v>
      </c>
      <c r="G297" s="32" t="n">
        <f aca="false">F297*DY_MENSAL</f>
        <v>8672.6912089181</v>
      </c>
      <c r="H297" s="32" t="n">
        <f aca="false">H296+D297</f>
        <v>300000</v>
      </c>
    </row>
    <row r="298" customFormat="false" ht="15" hidden="false" customHeight="false" outlineLevel="0" collapsed="false">
      <c r="A298" s="33" t="n">
        <v>296</v>
      </c>
      <c r="B298" s="33" t="n">
        <f aca="false">ROUNDUP(A298/12,0)</f>
        <v>25</v>
      </c>
      <c r="C298" s="34" t="n">
        <f aca="false">F297</f>
        <v>1238955.8869883</v>
      </c>
      <c r="D298" s="34" t="n">
        <f aca="false">APORTE</f>
        <v>1000</v>
      </c>
      <c r="E298" s="34" t="n">
        <f aca="false">C298*TAXA_MENSAL</f>
        <v>9911.6470959064</v>
      </c>
      <c r="F298" s="34" t="n">
        <f aca="false">C298+D298+E298</f>
        <v>1249867.53408421</v>
      </c>
      <c r="G298" s="34" t="n">
        <f aca="false">F298*DY_MENSAL</f>
        <v>8749.07273858944</v>
      </c>
      <c r="H298" s="34" t="n">
        <f aca="false">H297+D298</f>
        <v>301000</v>
      </c>
    </row>
    <row r="299" customFormat="false" ht="15" hidden="false" customHeight="false" outlineLevel="0" collapsed="false">
      <c r="A299" s="31" t="n">
        <v>297</v>
      </c>
      <c r="B299" s="31" t="n">
        <f aca="false">ROUNDUP(A299/12,0)</f>
        <v>25</v>
      </c>
      <c r="C299" s="32" t="n">
        <f aca="false">F298</f>
        <v>1249867.53408421</v>
      </c>
      <c r="D299" s="32" t="n">
        <f aca="false">APORTE</f>
        <v>1000</v>
      </c>
      <c r="E299" s="32" t="n">
        <f aca="false">C299*TAXA_MENSAL</f>
        <v>9998.94027267365</v>
      </c>
      <c r="F299" s="32" t="n">
        <f aca="false">C299+D299+E299</f>
        <v>1260866.47435688</v>
      </c>
      <c r="G299" s="32" t="n">
        <f aca="false">F299*DY_MENSAL</f>
        <v>8826.06532049816</v>
      </c>
      <c r="H299" s="32" t="n">
        <f aca="false">H298+D299</f>
        <v>302000</v>
      </c>
    </row>
    <row r="300" customFormat="false" ht="15" hidden="false" customHeight="false" outlineLevel="0" collapsed="false">
      <c r="A300" s="33" t="n">
        <v>298</v>
      </c>
      <c r="B300" s="33" t="n">
        <f aca="false">ROUNDUP(A300/12,0)</f>
        <v>25</v>
      </c>
      <c r="C300" s="34" t="n">
        <f aca="false">F299</f>
        <v>1260866.47435688</v>
      </c>
      <c r="D300" s="34" t="n">
        <f aca="false">APORTE</f>
        <v>1000</v>
      </c>
      <c r="E300" s="34" t="n">
        <f aca="false">C300*TAXA_MENSAL</f>
        <v>10086.931794855</v>
      </c>
      <c r="F300" s="34" t="n">
        <f aca="false">C300+D300+E300</f>
        <v>1271953.40615173</v>
      </c>
      <c r="G300" s="34" t="n">
        <f aca="false">F300*DY_MENSAL</f>
        <v>8903.67384306214</v>
      </c>
      <c r="H300" s="34" t="n">
        <f aca="false">H299+D300</f>
        <v>303000</v>
      </c>
    </row>
    <row r="301" customFormat="false" ht="15" hidden="false" customHeight="false" outlineLevel="0" collapsed="false">
      <c r="A301" s="31" t="n">
        <v>299</v>
      </c>
      <c r="B301" s="31" t="n">
        <f aca="false">ROUNDUP(A301/12,0)</f>
        <v>25</v>
      </c>
      <c r="C301" s="32" t="n">
        <f aca="false">F300</f>
        <v>1271953.40615173</v>
      </c>
      <c r="D301" s="32" t="n">
        <f aca="false">APORTE</f>
        <v>1000</v>
      </c>
      <c r="E301" s="32" t="n">
        <f aca="false">C301*TAXA_MENSAL</f>
        <v>10175.6272492139</v>
      </c>
      <c r="F301" s="32" t="n">
        <f aca="false">C301+D301+E301</f>
        <v>1283129.03340095</v>
      </c>
      <c r="G301" s="32" t="n">
        <f aca="false">F301*DY_MENSAL</f>
        <v>8981.90323380664</v>
      </c>
      <c r="H301" s="32" t="n">
        <f aca="false">H300+D301</f>
        <v>304000</v>
      </c>
    </row>
    <row r="302" customFormat="false" ht="15" hidden="false" customHeight="false" outlineLevel="0" collapsed="false">
      <c r="A302" s="33" t="n">
        <v>300</v>
      </c>
      <c r="B302" s="33" t="n">
        <f aca="false">ROUNDUP(A302/12,0)</f>
        <v>25</v>
      </c>
      <c r="C302" s="34" t="n">
        <f aca="false">F301</f>
        <v>1283129.03340095</v>
      </c>
      <c r="D302" s="34" t="n">
        <f aca="false">APORTE</f>
        <v>1000</v>
      </c>
      <c r="E302" s="34" t="n">
        <f aca="false">C302*TAXA_MENSAL</f>
        <v>10265.0322672076</v>
      </c>
      <c r="F302" s="34" t="n">
        <f aca="false">C302+D302+E302</f>
        <v>1294394.06566816</v>
      </c>
      <c r="G302" s="34" t="n">
        <f aca="false">F302*DY_MENSAL</f>
        <v>9060.75845967709</v>
      </c>
      <c r="H302" s="34" t="n">
        <f aca="false">H301+D302</f>
        <v>305000</v>
      </c>
    </row>
    <row r="303" customFormat="false" ht="15" hidden="false" customHeight="false" outlineLevel="0" collapsed="false">
      <c r="A303" s="31" t="n">
        <v>301</v>
      </c>
      <c r="B303" s="31" t="n">
        <f aca="false">ROUNDUP(A303/12,0)</f>
        <v>26</v>
      </c>
      <c r="C303" s="32" t="n">
        <f aca="false">F302</f>
        <v>1294394.06566816</v>
      </c>
      <c r="D303" s="32" t="n">
        <f aca="false">APORTE</f>
        <v>1000</v>
      </c>
      <c r="E303" s="32" t="n">
        <f aca="false">C303*TAXA_MENSAL</f>
        <v>10355.1525253452</v>
      </c>
      <c r="F303" s="32" t="n">
        <f aca="false">C303+D303+E303</f>
        <v>1305749.2181935</v>
      </c>
      <c r="G303" s="32" t="n">
        <f aca="false">F303*DY_MENSAL</f>
        <v>9140.24452735451</v>
      </c>
      <c r="H303" s="32" t="n">
        <f aca="false">H302+D303</f>
        <v>306000</v>
      </c>
    </row>
    <row r="304" customFormat="false" ht="15" hidden="false" customHeight="false" outlineLevel="0" collapsed="false">
      <c r="A304" s="33" t="n">
        <v>302</v>
      </c>
      <c r="B304" s="33" t="n">
        <f aca="false">ROUNDUP(A304/12,0)</f>
        <v>26</v>
      </c>
      <c r="C304" s="34" t="n">
        <f aca="false">F303</f>
        <v>1305749.2181935</v>
      </c>
      <c r="D304" s="34" t="n">
        <f aca="false">APORTE</f>
        <v>1000</v>
      </c>
      <c r="E304" s="34" t="n">
        <f aca="false">C304*TAXA_MENSAL</f>
        <v>10445.993745548</v>
      </c>
      <c r="F304" s="34" t="n">
        <f aca="false">C304+D304+E304</f>
        <v>1317195.21193905</v>
      </c>
      <c r="G304" s="34" t="n">
        <f aca="false">F304*DY_MENSAL</f>
        <v>9220.36648357335</v>
      </c>
      <c r="H304" s="34" t="n">
        <f aca="false">H303+D304</f>
        <v>307000</v>
      </c>
    </row>
    <row r="305" customFormat="false" ht="15" hidden="false" customHeight="false" outlineLevel="0" collapsed="false">
      <c r="A305" s="31" t="n">
        <v>303</v>
      </c>
      <c r="B305" s="31" t="n">
        <f aca="false">ROUNDUP(A305/12,0)</f>
        <v>26</v>
      </c>
      <c r="C305" s="32" t="n">
        <f aca="false">F304</f>
        <v>1317195.21193905</v>
      </c>
      <c r="D305" s="32" t="n">
        <f aca="false">APORTE</f>
        <v>1000</v>
      </c>
      <c r="E305" s="32" t="n">
        <f aca="false">C305*TAXA_MENSAL</f>
        <v>10537.5616955124</v>
      </c>
      <c r="F305" s="32" t="n">
        <f aca="false">C305+D305+E305</f>
        <v>1328732.77363456</v>
      </c>
      <c r="G305" s="32" t="n">
        <f aca="false">F305*DY_MENSAL</f>
        <v>9301.12941544193</v>
      </c>
      <c r="H305" s="32" t="n">
        <f aca="false">H304+D305</f>
        <v>308000</v>
      </c>
    </row>
    <row r="306" customFormat="false" ht="15" hidden="false" customHeight="false" outlineLevel="0" collapsed="false">
      <c r="A306" s="33" t="n">
        <v>304</v>
      </c>
      <c r="B306" s="33" t="n">
        <f aca="false">ROUNDUP(A306/12,0)</f>
        <v>26</v>
      </c>
      <c r="C306" s="34" t="n">
        <f aca="false">F305</f>
        <v>1328732.77363456</v>
      </c>
      <c r="D306" s="34" t="n">
        <f aca="false">APORTE</f>
        <v>1000</v>
      </c>
      <c r="E306" s="34" t="n">
        <f aca="false">C306*TAXA_MENSAL</f>
        <v>10629.8621890765</v>
      </c>
      <c r="F306" s="34" t="n">
        <f aca="false">C306+D306+E306</f>
        <v>1340362.63582364</v>
      </c>
      <c r="G306" s="34" t="n">
        <f aca="false">F306*DY_MENSAL</f>
        <v>9382.53845076547</v>
      </c>
      <c r="H306" s="34" t="n">
        <f aca="false">H305+D306</f>
        <v>309000</v>
      </c>
    </row>
    <row r="307" customFormat="false" ht="15" hidden="false" customHeight="false" outlineLevel="0" collapsed="false">
      <c r="A307" s="31" t="n">
        <v>305</v>
      </c>
      <c r="B307" s="31" t="n">
        <f aca="false">ROUNDUP(A307/12,0)</f>
        <v>26</v>
      </c>
      <c r="C307" s="32" t="n">
        <f aca="false">F306</f>
        <v>1340362.63582364</v>
      </c>
      <c r="D307" s="32" t="n">
        <f aca="false">APORTE</f>
        <v>1000</v>
      </c>
      <c r="E307" s="32" t="n">
        <f aca="false">C307*TAXA_MENSAL</f>
        <v>10722.9010865891</v>
      </c>
      <c r="F307" s="32" t="n">
        <f aca="false">C307+D307+E307</f>
        <v>1352085.53691023</v>
      </c>
      <c r="G307" s="32" t="n">
        <f aca="false">F307*DY_MENSAL</f>
        <v>9464.59875837159</v>
      </c>
      <c r="H307" s="32" t="n">
        <f aca="false">H306+D307</f>
        <v>310000</v>
      </c>
    </row>
    <row r="308" customFormat="false" ht="15" hidden="false" customHeight="false" outlineLevel="0" collapsed="false">
      <c r="A308" s="33" t="n">
        <v>306</v>
      </c>
      <c r="B308" s="33" t="n">
        <f aca="false">ROUNDUP(A308/12,0)</f>
        <v>26</v>
      </c>
      <c r="C308" s="34" t="n">
        <f aca="false">F307</f>
        <v>1352085.53691023</v>
      </c>
      <c r="D308" s="34" t="n">
        <f aca="false">APORTE</f>
        <v>1000</v>
      </c>
      <c r="E308" s="34" t="n">
        <f aca="false">C308*TAXA_MENSAL</f>
        <v>10816.6842952818</v>
      </c>
      <c r="F308" s="34" t="n">
        <f aca="false">C308+D308+E308</f>
        <v>1363902.22120551</v>
      </c>
      <c r="G308" s="34" t="n">
        <f aca="false">F308*DY_MENSAL</f>
        <v>9547.31554843856</v>
      </c>
      <c r="H308" s="34" t="n">
        <f aca="false">H307+D308</f>
        <v>311000</v>
      </c>
    </row>
    <row r="309" customFormat="false" ht="15" hidden="false" customHeight="false" outlineLevel="0" collapsed="false">
      <c r="A309" s="31" t="n">
        <v>307</v>
      </c>
      <c r="B309" s="31" t="n">
        <f aca="false">ROUNDUP(A309/12,0)</f>
        <v>26</v>
      </c>
      <c r="C309" s="32" t="n">
        <f aca="false">F308</f>
        <v>1363902.22120551</v>
      </c>
      <c r="D309" s="32" t="n">
        <f aca="false">APORTE</f>
        <v>1000</v>
      </c>
      <c r="E309" s="32" t="n">
        <f aca="false">C309*TAXA_MENSAL</f>
        <v>10911.2177696441</v>
      </c>
      <c r="F309" s="32" t="n">
        <f aca="false">C309+D309+E309</f>
        <v>1375813.43897515</v>
      </c>
      <c r="G309" s="32" t="n">
        <f aca="false">F309*DY_MENSAL</f>
        <v>9630.69407282607</v>
      </c>
      <c r="H309" s="32" t="n">
        <f aca="false">H308+D309</f>
        <v>312000</v>
      </c>
    </row>
    <row r="310" customFormat="false" ht="15" hidden="false" customHeight="false" outlineLevel="0" collapsed="false">
      <c r="A310" s="33" t="n">
        <v>308</v>
      </c>
      <c r="B310" s="33" t="n">
        <f aca="false">ROUNDUP(A310/12,0)</f>
        <v>26</v>
      </c>
      <c r="C310" s="34" t="n">
        <f aca="false">F309</f>
        <v>1375813.43897515</v>
      </c>
      <c r="D310" s="34" t="n">
        <f aca="false">APORTE</f>
        <v>1000</v>
      </c>
      <c r="E310" s="34" t="n">
        <f aca="false">C310*TAXA_MENSAL</f>
        <v>11006.5075118012</v>
      </c>
      <c r="F310" s="34" t="n">
        <f aca="false">C310+D310+E310</f>
        <v>1387819.94648695</v>
      </c>
      <c r="G310" s="34" t="n">
        <f aca="false">F310*DY_MENSAL</f>
        <v>9714.73962540868</v>
      </c>
      <c r="H310" s="34" t="n">
        <f aca="false">H309+D310</f>
        <v>313000</v>
      </c>
    </row>
    <row r="311" customFormat="false" ht="15" hidden="false" customHeight="false" outlineLevel="0" collapsed="false">
      <c r="A311" s="31" t="n">
        <v>309</v>
      </c>
      <c r="B311" s="31" t="n">
        <f aca="false">ROUNDUP(A311/12,0)</f>
        <v>26</v>
      </c>
      <c r="C311" s="32" t="n">
        <f aca="false">F310</f>
        <v>1387819.94648695</v>
      </c>
      <c r="D311" s="32" t="n">
        <f aca="false">APORTE</f>
        <v>1000</v>
      </c>
      <c r="E311" s="32" t="n">
        <f aca="false">C311*TAXA_MENSAL</f>
        <v>11102.5595718956</v>
      </c>
      <c r="F311" s="32" t="n">
        <f aca="false">C311+D311+E311</f>
        <v>1399922.50605885</v>
      </c>
      <c r="G311" s="32" t="n">
        <f aca="false">F311*DY_MENSAL</f>
        <v>9799.45754241195</v>
      </c>
      <c r="H311" s="32" t="n">
        <f aca="false">H310+D311</f>
        <v>314000</v>
      </c>
    </row>
    <row r="312" customFormat="false" ht="15" hidden="false" customHeight="false" outlineLevel="0" collapsed="false">
      <c r="A312" s="33" t="n">
        <v>310</v>
      </c>
      <c r="B312" s="33" t="n">
        <f aca="false">ROUNDUP(A312/12,0)</f>
        <v>26</v>
      </c>
      <c r="C312" s="34" t="n">
        <f aca="false">F311</f>
        <v>1399922.50605885</v>
      </c>
      <c r="D312" s="34" t="n">
        <f aca="false">APORTE</f>
        <v>1000</v>
      </c>
      <c r="E312" s="34" t="n">
        <f aca="false">C312*TAXA_MENSAL</f>
        <v>11199.3800484708</v>
      </c>
      <c r="F312" s="34" t="n">
        <f aca="false">C312+D312+E312</f>
        <v>1412121.88610732</v>
      </c>
      <c r="G312" s="34" t="n">
        <f aca="false">F312*DY_MENSAL</f>
        <v>9884.85320275125</v>
      </c>
      <c r="H312" s="34" t="n">
        <f aca="false">H311+D312</f>
        <v>315000</v>
      </c>
    </row>
    <row r="313" customFormat="false" ht="15" hidden="false" customHeight="false" outlineLevel="0" collapsed="false">
      <c r="A313" s="31" t="n">
        <v>311</v>
      </c>
      <c r="B313" s="31" t="n">
        <f aca="false">ROUNDUP(A313/12,0)</f>
        <v>26</v>
      </c>
      <c r="C313" s="32" t="n">
        <f aca="false">F312</f>
        <v>1412121.88610732</v>
      </c>
      <c r="D313" s="32" t="n">
        <f aca="false">APORTE</f>
        <v>1000</v>
      </c>
      <c r="E313" s="32" t="n">
        <f aca="false">C313*TAXA_MENSAL</f>
        <v>11296.9750888586</v>
      </c>
      <c r="F313" s="32" t="n">
        <f aca="false">C313+D313+E313</f>
        <v>1424418.86119618</v>
      </c>
      <c r="G313" s="32" t="n">
        <f aca="false">F313*DY_MENSAL</f>
        <v>9970.93202837326</v>
      </c>
      <c r="H313" s="32" t="n">
        <f aca="false">H312+D313</f>
        <v>316000</v>
      </c>
    </row>
    <row r="314" customFormat="false" ht="15" hidden="false" customHeight="false" outlineLevel="0" collapsed="false">
      <c r="A314" s="33" t="n">
        <v>312</v>
      </c>
      <c r="B314" s="33" t="n">
        <f aca="false">ROUNDUP(A314/12,0)</f>
        <v>26</v>
      </c>
      <c r="C314" s="34" t="n">
        <f aca="false">F313</f>
        <v>1424418.86119618</v>
      </c>
      <c r="D314" s="34" t="n">
        <f aca="false">APORTE</f>
        <v>1000</v>
      </c>
      <c r="E314" s="34" t="n">
        <f aca="false">C314*TAXA_MENSAL</f>
        <v>11395.3508895694</v>
      </c>
      <c r="F314" s="34" t="n">
        <f aca="false">C314+D314+E314</f>
        <v>1436814.21208575</v>
      </c>
      <c r="G314" s="34" t="n">
        <f aca="false">F314*DY_MENSAL</f>
        <v>10057.6994846002</v>
      </c>
      <c r="H314" s="34" t="n">
        <f aca="false">H313+D314</f>
        <v>317000</v>
      </c>
    </row>
    <row r="315" customFormat="false" ht="15" hidden="false" customHeight="false" outlineLevel="0" collapsed="false">
      <c r="A315" s="31" t="n">
        <v>313</v>
      </c>
      <c r="B315" s="31" t="n">
        <f aca="false">ROUNDUP(A315/12,0)</f>
        <v>27</v>
      </c>
      <c r="C315" s="32" t="n">
        <f aca="false">F314</f>
        <v>1436814.21208575</v>
      </c>
      <c r="D315" s="32" t="n">
        <f aca="false">APORTE</f>
        <v>1000</v>
      </c>
      <c r="E315" s="32" t="n">
        <f aca="false">C315*TAXA_MENSAL</f>
        <v>11494.513696686</v>
      </c>
      <c r="F315" s="32" t="n">
        <f aca="false">C315+D315+E315</f>
        <v>1449308.72578243</v>
      </c>
      <c r="G315" s="32" t="n">
        <f aca="false">F315*DY_MENSAL</f>
        <v>10145.161080477</v>
      </c>
      <c r="H315" s="32" t="n">
        <f aca="false">H314+D315</f>
        <v>318000</v>
      </c>
    </row>
    <row r="316" customFormat="false" ht="15" hidden="false" customHeight="false" outlineLevel="0" collapsed="false">
      <c r="A316" s="33" t="n">
        <v>314</v>
      </c>
      <c r="B316" s="33" t="n">
        <f aca="false">ROUNDUP(A316/12,0)</f>
        <v>27</v>
      </c>
      <c r="C316" s="34" t="n">
        <f aca="false">F315</f>
        <v>1449308.72578243</v>
      </c>
      <c r="D316" s="34" t="n">
        <f aca="false">APORTE</f>
        <v>1000</v>
      </c>
      <c r="E316" s="34" t="n">
        <f aca="false">C316*TAXA_MENSAL</f>
        <v>11594.4698062595</v>
      </c>
      <c r="F316" s="34" t="n">
        <f aca="false">C316+D316+E316</f>
        <v>1461903.19558869</v>
      </c>
      <c r="G316" s="34" t="n">
        <f aca="false">F316*DY_MENSAL</f>
        <v>10233.3223691209</v>
      </c>
      <c r="H316" s="34" t="n">
        <f aca="false">H315+D316</f>
        <v>319000</v>
      </c>
    </row>
    <row r="317" customFormat="false" ht="15" hidden="false" customHeight="false" outlineLevel="0" collapsed="false">
      <c r="A317" s="31" t="n">
        <v>315</v>
      </c>
      <c r="B317" s="31" t="n">
        <f aca="false">ROUNDUP(A317/12,0)</f>
        <v>27</v>
      </c>
      <c r="C317" s="32" t="n">
        <f aca="false">F316</f>
        <v>1461903.19558869</v>
      </c>
      <c r="D317" s="32" t="n">
        <f aca="false">APORTE</f>
        <v>1000</v>
      </c>
      <c r="E317" s="32" t="n">
        <f aca="false">C317*TAXA_MENSAL</f>
        <v>11695.2255647096</v>
      </c>
      <c r="F317" s="32" t="n">
        <f aca="false">C317+D317+E317</f>
        <v>1474598.4211534</v>
      </c>
      <c r="G317" s="32" t="n">
        <f aca="false">F317*DY_MENSAL</f>
        <v>10322.1889480738</v>
      </c>
      <c r="H317" s="32" t="n">
        <f aca="false">H316+D317</f>
        <v>320000</v>
      </c>
    </row>
    <row r="318" customFormat="false" ht="15" hidden="false" customHeight="false" outlineLevel="0" collapsed="false">
      <c r="A318" s="33" t="n">
        <v>316</v>
      </c>
      <c r="B318" s="33" t="n">
        <f aca="false">ROUNDUP(A318/12,0)</f>
        <v>27</v>
      </c>
      <c r="C318" s="34" t="n">
        <f aca="false">F317</f>
        <v>1474598.4211534</v>
      </c>
      <c r="D318" s="34" t="n">
        <f aca="false">APORTE</f>
        <v>1000</v>
      </c>
      <c r="E318" s="34" t="n">
        <f aca="false">C318*TAXA_MENSAL</f>
        <v>11796.7873692272</v>
      </c>
      <c r="F318" s="34" t="n">
        <f aca="false">C318+D318+E318</f>
        <v>1487395.20852263</v>
      </c>
      <c r="G318" s="34" t="n">
        <f aca="false">F318*DY_MENSAL</f>
        <v>10411.7664596584</v>
      </c>
      <c r="H318" s="34" t="n">
        <f aca="false">H317+D318</f>
        <v>321000</v>
      </c>
    </row>
    <row r="319" customFormat="false" ht="15" hidden="false" customHeight="false" outlineLevel="0" collapsed="false">
      <c r="A319" s="31" t="n">
        <v>317</v>
      </c>
      <c r="B319" s="31" t="n">
        <f aca="false">ROUNDUP(A319/12,0)</f>
        <v>27</v>
      </c>
      <c r="C319" s="32" t="n">
        <f aca="false">F318</f>
        <v>1487395.20852263</v>
      </c>
      <c r="D319" s="32" t="n">
        <f aca="false">APORTE</f>
        <v>1000</v>
      </c>
      <c r="E319" s="32" t="n">
        <f aca="false">C319*TAXA_MENSAL</f>
        <v>11899.161668181</v>
      </c>
      <c r="F319" s="32" t="n">
        <f aca="false">C319+D319+E319</f>
        <v>1500294.37019081</v>
      </c>
      <c r="G319" s="32" t="n">
        <f aca="false">F319*DY_MENSAL</f>
        <v>10502.0605913357</v>
      </c>
      <c r="H319" s="32" t="n">
        <f aca="false">H318+D319</f>
        <v>322000</v>
      </c>
    </row>
    <row r="320" customFormat="false" ht="15" hidden="false" customHeight="false" outlineLevel="0" collapsed="false">
      <c r="A320" s="33" t="n">
        <v>318</v>
      </c>
      <c r="B320" s="33" t="n">
        <f aca="false">ROUNDUP(A320/12,0)</f>
        <v>27</v>
      </c>
      <c r="C320" s="34" t="n">
        <f aca="false">F319</f>
        <v>1500294.37019081</v>
      </c>
      <c r="D320" s="34" t="n">
        <f aca="false">APORTE</f>
        <v>1000</v>
      </c>
      <c r="E320" s="34" t="n">
        <f aca="false">C320*TAXA_MENSAL</f>
        <v>12002.3549615265</v>
      </c>
      <c r="F320" s="34" t="n">
        <f aca="false">C320+D320+E320</f>
        <v>1513296.72515234</v>
      </c>
      <c r="G320" s="34" t="n">
        <f aca="false">F320*DY_MENSAL</f>
        <v>10593.0770760664</v>
      </c>
      <c r="H320" s="34" t="n">
        <f aca="false">H319+D320</f>
        <v>323000</v>
      </c>
    </row>
    <row r="321" customFormat="false" ht="15" hidden="false" customHeight="false" outlineLevel="0" collapsed="false">
      <c r="A321" s="31" t="n">
        <v>319</v>
      </c>
      <c r="B321" s="31" t="n">
        <f aca="false">ROUNDUP(A321/12,0)</f>
        <v>27</v>
      </c>
      <c r="C321" s="32" t="n">
        <f aca="false">F320</f>
        <v>1513296.72515234</v>
      </c>
      <c r="D321" s="32" t="n">
        <f aca="false">APORTE</f>
        <v>1000</v>
      </c>
      <c r="E321" s="32" t="n">
        <f aca="false">C321*TAXA_MENSAL</f>
        <v>12106.3738012187</v>
      </c>
      <c r="F321" s="32" t="n">
        <f aca="false">C321+D321+E321</f>
        <v>1526403.09895356</v>
      </c>
      <c r="G321" s="32" t="n">
        <f aca="false">F321*DY_MENSAL</f>
        <v>10684.8216926749</v>
      </c>
      <c r="H321" s="32" t="n">
        <f aca="false">H320+D321</f>
        <v>324000</v>
      </c>
    </row>
    <row r="322" customFormat="false" ht="15" hidden="false" customHeight="false" outlineLevel="0" collapsed="false">
      <c r="A322" s="33" t="n">
        <v>320</v>
      </c>
      <c r="B322" s="33" t="n">
        <f aca="false">ROUNDUP(A322/12,0)</f>
        <v>27</v>
      </c>
      <c r="C322" s="34" t="n">
        <f aca="false">F321</f>
        <v>1526403.09895356</v>
      </c>
      <c r="D322" s="34" t="n">
        <f aca="false">APORTE</f>
        <v>1000</v>
      </c>
      <c r="E322" s="34" t="n">
        <f aca="false">C322*TAXA_MENSAL</f>
        <v>12211.2247916285</v>
      </c>
      <c r="F322" s="34" t="n">
        <f aca="false">C322+D322+E322</f>
        <v>1539614.32374519</v>
      </c>
      <c r="G322" s="34" t="n">
        <f aca="false">F322*DY_MENSAL</f>
        <v>10777.3002662163</v>
      </c>
      <c r="H322" s="34" t="n">
        <f aca="false">H321+D322</f>
        <v>325000</v>
      </c>
    </row>
    <row r="323" customFormat="false" ht="15" hidden="false" customHeight="false" outlineLevel="0" collapsed="false">
      <c r="A323" s="31" t="n">
        <v>321</v>
      </c>
      <c r="B323" s="31" t="n">
        <f aca="false">ROUNDUP(A323/12,0)</f>
        <v>27</v>
      </c>
      <c r="C323" s="32" t="n">
        <f aca="false">F322</f>
        <v>1539614.32374519</v>
      </c>
      <c r="D323" s="32" t="n">
        <f aca="false">APORTE</f>
        <v>1000</v>
      </c>
      <c r="E323" s="32" t="n">
        <f aca="false">C323*TAXA_MENSAL</f>
        <v>12316.9145899615</v>
      </c>
      <c r="F323" s="32" t="n">
        <f aca="false">C323+D323+E323</f>
        <v>1552931.23833515</v>
      </c>
      <c r="G323" s="32" t="n">
        <f aca="false">F323*DY_MENSAL</f>
        <v>10870.518668346</v>
      </c>
      <c r="H323" s="32" t="n">
        <f aca="false">H322+D323</f>
        <v>326000</v>
      </c>
    </row>
    <row r="324" customFormat="false" ht="15" hidden="false" customHeight="false" outlineLevel="0" collapsed="false">
      <c r="A324" s="33" t="n">
        <v>322</v>
      </c>
      <c r="B324" s="33" t="n">
        <f aca="false">ROUNDUP(A324/12,0)</f>
        <v>27</v>
      </c>
      <c r="C324" s="34" t="n">
        <f aca="false">F323</f>
        <v>1552931.23833515</v>
      </c>
      <c r="D324" s="34" t="n">
        <f aca="false">APORTE</f>
        <v>1000</v>
      </c>
      <c r="E324" s="34" t="n">
        <f aca="false">C324*TAXA_MENSAL</f>
        <v>12423.4499066812</v>
      </c>
      <c r="F324" s="34" t="n">
        <f aca="false">C324+D324+E324</f>
        <v>1566354.68824183</v>
      </c>
      <c r="G324" s="34" t="n">
        <f aca="false">F324*DY_MENSAL</f>
        <v>10964.4828176928</v>
      </c>
      <c r="H324" s="34" t="n">
        <f aca="false">H323+D324</f>
        <v>327000</v>
      </c>
    </row>
    <row r="325" customFormat="false" ht="15" hidden="false" customHeight="false" outlineLevel="0" collapsed="false">
      <c r="A325" s="31" t="n">
        <v>323</v>
      </c>
      <c r="B325" s="31" t="n">
        <f aca="false">ROUNDUP(A325/12,0)</f>
        <v>27</v>
      </c>
      <c r="C325" s="32" t="n">
        <f aca="false">F324</f>
        <v>1566354.68824183</v>
      </c>
      <c r="D325" s="32" t="n">
        <f aca="false">APORTE</f>
        <v>1000</v>
      </c>
      <c r="E325" s="32" t="n">
        <f aca="false">C325*TAXA_MENSAL</f>
        <v>12530.8375059346</v>
      </c>
      <c r="F325" s="32" t="n">
        <f aca="false">C325+D325+E325</f>
        <v>1579885.52574776</v>
      </c>
      <c r="G325" s="32" t="n">
        <f aca="false">F325*DY_MENSAL</f>
        <v>11059.1986802343</v>
      </c>
      <c r="H325" s="32" t="n">
        <f aca="false">H324+D325</f>
        <v>328000</v>
      </c>
    </row>
    <row r="326" customFormat="false" ht="15" hidden="false" customHeight="false" outlineLevel="0" collapsed="false">
      <c r="A326" s="33" t="n">
        <v>324</v>
      </c>
      <c r="B326" s="33" t="n">
        <f aca="false">ROUNDUP(A326/12,0)</f>
        <v>27</v>
      </c>
      <c r="C326" s="34" t="n">
        <f aca="false">F325</f>
        <v>1579885.52574776</v>
      </c>
      <c r="D326" s="34" t="n">
        <f aca="false">APORTE</f>
        <v>1000</v>
      </c>
      <c r="E326" s="34" t="n">
        <f aca="false">C326*TAXA_MENSAL</f>
        <v>12639.0842059821</v>
      </c>
      <c r="F326" s="34" t="n">
        <f aca="false">C326+D326+E326</f>
        <v>1593524.60995375</v>
      </c>
      <c r="G326" s="34" t="n">
        <f aca="false">F326*DY_MENSAL</f>
        <v>11154.6722696762</v>
      </c>
      <c r="H326" s="34" t="n">
        <f aca="false">H325+D326</f>
        <v>329000</v>
      </c>
    </row>
    <row r="327" customFormat="false" ht="15" hidden="false" customHeight="false" outlineLevel="0" collapsed="false">
      <c r="A327" s="31" t="n">
        <v>325</v>
      </c>
      <c r="B327" s="31" t="n">
        <f aca="false">ROUNDUP(A327/12,0)</f>
        <v>28</v>
      </c>
      <c r="C327" s="32" t="n">
        <f aca="false">F326</f>
        <v>1593524.60995375</v>
      </c>
      <c r="D327" s="32" t="n">
        <f aca="false">APORTE</f>
        <v>1000</v>
      </c>
      <c r="E327" s="32" t="n">
        <f aca="false">C327*TAXA_MENSAL</f>
        <v>12748.19687963</v>
      </c>
      <c r="F327" s="32" t="n">
        <f aca="false">C327+D327+E327</f>
        <v>1607272.80683338</v>
      </c>
      <c r="G327" s="32" t="n">
        <f aca="false">F327*DY_MENSAL</f>
        <v>11250.9096478336</v>
      </c>
      <c r="H327" s="32" t="n">
        <f aca="false">H326+D327</f>
        <v>330000</v>
      </c>
    </row>
    <row r="328" customFormat="false" ht="15" hidden="false" customHeight="false" outlineLevel="0" collapsed="false">
      <c r="A328" s="33" t="n">
        <v>326</v>
      </c>
      <c r="B328" s="33" t="n">
        <f aca="false">ROUNDUP(A328/12,0)</f>
        <v>28</v>
      </c>
      <c r="C328" s="34" t="n">
        <f aca="false">F327</f>
        <v>1607272.80683338</v>
      </c>
      <c r="D328" s="34" t="n">
        <f aca="false">APORTE</f>
        <v>1000</v>
      </c>
      <c r="E328" s="34" t="n">
        <f aca="false">C328*TAXA_MENSAL</f>
        <v>12858.182454667</v>
      </c>
      <c r="F328" s="34" t="n">
        <f aca="false">C328+D328+E328</f>
        <v>1621130.98928804</v>
      </c>
      <c r="G328" s="34" t="n">
        <f aca="false">F328*DY_MENSAL</f>
        <v>11347.9169250163</v>
      </c>
      <c r="H328" s="34" t="n">
        <f aca="false">H327+D328</f>
        <v>331000</v>
      </c>
    </row>
    <row r="329" customFormat="false" ht="15" hidden="false" customHeight="false" outlineLevel="0" collapsed="false">
      <c r="A329" s="31" t="n">
        <v>327</v>
      </c>
      <c r="B329" s="31" t="n">
        <f aca="false">ROUNDUP(A329/12,0)</f>
        <v>28</v>
      </c>
      <c r="C329" s="32" t="n">
        <f aca="false">F328</f>
        <v>1621130.98928804</v>
      </c>
      <c r="D329" s="32" t="n">
        <f aca="false">APORTE</f>
        <v>1000</v>
      </c>
      <c r="E329" s="32" t="n">
        <f aca="false">C329*TAXA_MENSAL</f>
        <v>12969.0479143043</v>
      </c>
      <c r="F329" s="32" t="n">
        <f aca="false">C329+D329+E329</f>
        <v>1635100.03720235</v>
      </c>
      <c r="G329" s="32" t="n">
        <f aca="false">F329*DY_MENSAL</f>
        <v>11445.7002604164</v>
      </c>
      <c r="H329" s="32" t="n">
        <f aca="false">H328+D329</f>
        <v>332000</v>
      </c>
    </row>
    <row r="330" customFormat="false" ht="15" hidden="false" customHeight="false" outlineLevel="0" collapsed="false">
      <c r="A330" s="33" t="n">
        <v>328</v>
      </c>
      <c r="B330" s="33" t="n">
        <f aca="false">ROUNDUP(A330/12,0)</f>
        <v>28</v>
      </c>
      <c r="C330" s="34" t="n">
        <f aca="false">F329</f>
        <v>1635100.03720235</v>
      </c>
      <c r="D330" s="34" t="n">
        <f aca="false">APORTE</f>
        <v>1000</v>
      </c>
      <c r="E330" s="34" t="n">
        <f aca="false">C330*TAXA_MENSAL</f>
        <v>13080.8002976188</v>
      </c>
      <c r="F330" s="34" t="n">
        <f aca="false">C330+D330+E330</f>
        <v>1649180.83749997</v>
      </c>
      <c r="G330" s="34" t="n">
        <f aca="false">F330*DY_MENSAL</f>
        <v>11544.2658624998</v>
      </c>
      <c r="H330" s="34" t="n">
        <f aca="false">H329+D330</f>
        <v>333000</v>
      </c>
    </row>
    <row r="331" customFormat="false" ht="15" hidden="false" customHeight="false" outlineLevel="0" collapsed="false">
      <c r="A331" s="31" t="n">
        <v>329</v>
      </c>
      <c r="B331" s="31" t="n">
        <f aca="false">ROUNDUP(A331/12,0)</f>
        <v>28</v>
      </c>
      <c r="C331" s="32" t="n">
        <f aca="false">F330</f>
        <v>1649180.83749997</v>
      </c>
      <c r="D331" s="32" t="n">
        <f aca="false">APORTE</f>
        <v>1000</v>
      </c>
      <c r="E331" s="32" t="n">
        <f aca="false">C331*TAXA_MENSAL</f>
        <v>13193.4466999997</v>
      </c>
      <c r="F331" s="32" t="n">
        <f aca="false">C331+D331+E331</f>
        <v>1663374.28419997</v>
      </c>
      <c r="G331" s="32" t="n">
        <f aca="false">F331*DY_MENSAL</f>
        <v>11643.6199893998</v>
      </c>
      <c r="H331" s="32" t="n">
        <f aca="false">H330+D331</f>
        <v>334000</v>
      </c>
    </row>
    <row r="332" customFormat="false" ht="15" hidden="false" customHeight="false" outlineLevel="0" collapsed="false">
      <c r="A332" s="33" t="n">
        <v>330</v>
      </c>
      <c r="B332" s="33" t="n">
        <f aca="false">ROUNDUP(A332/12,0)</f>
        <v>28</v>
      </c>
      <c r="C332" s="34" t="n">
        <f aca="false">F331</f>
        <v>1663374.28419997</v>
      </c>
      <c r="D332" s="34" t="n">
        <f aca="false">APORTE</f>
        <v>1000</v>
      </c>
      <c r="E332" s="34" t="n">
        <f aca="false">C332*TAXA_MENSAL</f>
        <v>13306.9942735997</v>
      </c>
      <c r="F332" s="34" t="n">
        <f aca="false">C332+D332+E332</f>
        <v>1677681.27847357</v>
      </c>
      <c r="G332" s="34" t="n">
        <f aca="false">F332*DY_MENSAL</f>
        <v>11743.768949315</v>
      </c>
      <c r="H332" s="34" t="n">
        <f aca="false">H331+D332</f>
        <v>335000</v>
      </c>
    </row>
    <row r="333" customFormat="false" ht="15" hidden="false" customHeight="false" outlineLevel="0" collapsed="false">
      <c r="A333" s="31" t="n">
        <v>331</v>
      </c>
      <c r="B333" s="31" t="n">
        <f aca="false">ROUNDUP(A333/12,0)</f>
        <v>28</v>
      </c>
      <c r="C333" s="32" t="n">
        <f aca="false">F332</f>
        <v>1677681.27847357</v>
      </c>
      <c r="D333" s="32" t="n">
        <f aca="false">APORTE</f>
        <v>1000</v>
      </c>
      <c r="E333" s="32" t="n">
        <f aca="false">C333*TAXA_MENSAL</f>
        <v>13421.4502277885</v>
      </c>
      <c r="F333" s="32" t="n">
        <f aca="false">C333+D333+E333</f>
        <v>1692102.72870135</v>
      </c>
      <c r="G333" s="32" t="n">
        <f aca="false">F333*DY_MENSAL</f>
        <v>11844.7191009095</v>
      </c>
      <c r="H333" s="32" t="n">
        <f aca="false">H332+D333</f>
        <v>336000</v>
      </c>
    </row>
    <row r="334" customFormat="false" ht="15" hidden="false" customHeight="false" outlineLevel="0" collapsed="false">
      <c r="A334" s="33" t="n">
        <v>332</v>
      </c>
      <c r="B334" s="33" t="n">
        <f aca="false">ROUNDUP(A334/12,0)</f>
        <v>28</v>
      </c>
      <c r="C334" s="34" t="n">
        <f aca="false">F333</f>
        <v>1692102.72870135</v>
      </c>
      <c r="D334" s="34" t="n">
        <f aca="false">APORTE</f>
        <v>1000</v>
      </c>
      <c r="E334" s="34" t="n">
        <f aca="false">C334*TAXA_MENSAL</f>
        <v>13536.8218296108</v>
      </c>
      <c r="F334" s="34" t="n">
        <f aca="false">C334+D334+E334</f>
        <v>1706639.55053096</v>
      </c>
      <c r="G334" s="34" t="n">
        <f aca="false">F334*DY_MENSAL</f>
        <v>11946.4768537168</v>
      </c>
      <c r="H334" s="34" t="n">
        <f aca="false">H333+D334</f>
        <v>337000</v>
      </c>
    </row>
    <row r="335" customFormat="false" ht="15" hidden="false" customHeight="false" outlineLevel="0" collapsed="false">
      <c r="A335" s="31" t="n">
        <v>333</v>
      </c>
      <c r="B335" s="31" t="n">
        <f aca="false">ROUNDUP(A335/12,0)</f>
        <v>28</v>
      </c>
      <c r="C335" s="32" t="n">
        <f aca="false">F334</f>
        <v>1706639.55053096</v>
      </c>
      <c r="D335" s="32" t="n">
        <f aca="false">APORTE</f>
        <v>1000</v>
      </c>
      <c r="E335" s="32" t="n">
        <f aca="false">C335*TAXA_MENSAL</f>
        <v>13653.1164042477</v>
      </c>
      <c r="F335" s="32" t="n">
        <f aca="false">C335+D335+E335</f>
        <v>1721292.66693521</v>
      </c>
      <c r="G335" s="32" t="n">
        <f aca="false">F335*DY_MENSAL</f>
        <v>12049.0486685465</v>
      </c>
      <c r="H335" s="32" t="n">
        <f aca="false">H334+D335</f>
        <v>338000</v>
      </c>
    </row>
    <row r="336" customFormat="false" ht="15" hidden="false" customHeight="false" outlineLevel="0" collapsed="false">
      <c r="A336" s="33" t="n">
        <v>334</v>
      </c>
      <c r="B336" s="33" t="n">
        <f aca="false">ROUNDUP(A336/12,0)</f>
        <v>28</v>
      </c>
      <c r="C336" s="34" t="n">
        <f aca="false">F335</f>
        <v>1721292.66693521</v>
      </c>
      <c r="D336" s="34" t="n">
        <f aca="false">APORTE</f>
        <v>1000</v>
      </c>
      <c r="E336" s="34" t="n">
        <f aca="false">C336*TAXA_MENSAL</f>
        <v>13770.3413354817</v>
      </c>
      <c r="F336" s="34" t="n">
        <f aca="false">C336+D336+E336</f>
        <v>1736063.00827069</v>
      </c>
      <c r="G336" s="34" t="n">
        <f aca="false">F336*DY_MENSAL</f>
        <v>12152.4410578949</v>
      </c>
      <c r="H336" s="34" t="n">
        <f aca="false">H335+D336</f>
        <v>339000</v>
      </c>
    </row>
    <row r="337" customFormat="false" ht="15" hidden="false" customHeight="false" outlineLevel="0" collapsed="false">
      <c r="A337" s="31" t="n">
        <v>335</v>
      </c>
      <c r="B337" s="31" t="n">
        <f aca="false">ROUNDUP(A337/12,0)</f>
        <v>28</v>
      </c>
      <c r="C337" s="32" t="n">
        <f aca="false">F336</f>
        <v>1736063.00827069</v>
      </c>
      <c r="D337" s="32" t="n">
        <f aca="false">APORTE</f>
        <v>1000</v>
      </c>
      <c r="E337" s="32" t="n">
        <f aca="false">C337*TAXA_MENSAL</f>
        <v>13888.5040661655</v>
      </c>
      <c r="F337" s="32" t="n">
        <f aca="false">C337+D337+E337</f>
        <v>1750951.51233686</v>
      </c>
      <c r="G337" s="32" t="n">
        <f aca="false">F337*DY_MENSAL</f>
        <v>12256.660586358</v>
      </c>
      <c r="H337" s="32" t="n">
        <f aca="false">H336+D337</f>
        <v>340000</v>
      </c>
    </row>
    <row r="338" customFormat="false" ht="15" hidden="false" customHeight="false" outlineLevel="0" collapsed="false">
      <c r="A338" s="33" t="n">
        <v>336</v>
      </c>
      <c r="B338" s="33" t="n">
        <f aca="false">ROUNDUP(A338/12,0)</f>
        <v>28</v>
      </c>
      <c r="C338" s="34" t="n">
        <f aca="false">F337</f>
        <v>1750951.51233686</v>
      </c>
      <c r="D338" s="34" t="n">
        <f aca="false">APORTE</f>
        <v>1000</v>
      </c>
      <c r="E338" s="34" t="n">
        <f aca="false">C338*TAXA_MENSAL</f>
        <v>14007.6120986949</v>
      </c>
      <c r="F338" s="34" t="n">
        <f aca="false">C338+D338+E338</f>
        <v>1765959.12443555</v>
      </c>
      <c r="G338" s="34" t="n">
        <f aca="false">F338*DY_MENSAL</f>
        <v>12361.7138710489</v>
      </c>
      <c r="H338" s="34" t="n">
        <f aca="false">H337+D338</f>
        <v>341000</v>
      </c>
    </row>
    <row r="339" customFormat="false" ht="15" hidden="false" customHeight="false" outlineLevel="0" collapsed="false">
      <c r="A339" s="31" t="n">
        <v>337</v>
      </c>
      <c r="B339" s="31" t="n">
        <f aca="false">ROUNDUP(A339/12,0)</f>
        <v>29</v>
      </c>
      <c r="C339" s="32" t="n">
        <f aca="false">F338</f>
        <v>1765959.12443555</v>
      </c>
      <c r="D339" s="32" t="n">
        <f aca="false">APORTE</f>
        <v>1000</v>
      </c>
      <c r="E339" s="32" t="n">
        <f aca="false">C339*TAXA_MENSAL</f>
        <v>14127.6729954844</v>
      </c>
      <c r="F339" s="32" t="n">
        <f aca="false">C339+D339+E339</f>
        <v>1781086.79743104</v>
      </c>
      <c r="G339" s="32" t="n">
        <f aca="false">F339*DY_MENSAL</f>
        <v>12467.6075820173</v>
      </c>
      <c r="H339" s="32" t="n">
        <f aca="false">H338+D339</f>
        <v>342000</v>
      </c>
    </row>
    <row r="340" customFormat="false" ht="15" hidden="false" customHeight="false" outlineLevel="0" collapsed="false">
      <c r="A340" s="33" t="n">
        <v>338</v>
      </c>
      <c r="B340" s="33" t="n">
        <f aca="false">ROUNDUP(A340/12,0)</f>
        <v>29</v>
      </c>
      <c r="C340" s="34" t="n">
        <f aca="false">F339</f>
        <v>1781086.79743104</v>
      </c>
      <c r="D340" s="34" t="n">
        <f aca="false">APORTE</f>
        <v>1000</v>
      </c>
      <c r="E340" s="34" t="n">
        <f aca="false">C340*TAXA_MENSAL</f>
        <v>14248.6943794483</v>
      </c>
      <c r="F340" s="34" t="n">
        <f aca="false">C340+D340+E340</f>
        <v>1796335.49181049</v>
      </c>
      <c r="G340" s="34" t="n">
        <f aca="false">F340*DY_MENSAL</f>
        <v>12574.3484426734</v>
      </c>
      <c r="H340" s="34" t="n">
        <f aca="false">H339+D340</f>
        <v>343000</v>
      </c>
    </row>
    <row r="341" customFormat="false" ht="15" hidden="false" customHeight="false" outlineLevel="0" collapsed="false">
      <c r="A341" s="31" t="n">
        <v>339</v>
      </c>
      <c r="B341" s="31" t="n">
        <f aca="false">ROUNDUP(A341/12,0)</f>
        <v>29</v>
      </c>
      <c r="C341" s="32" t="n">
        <f aca="false">F340</f>
        <v>1796335.49181049</v>
      </c>
      <c r="D341" s="32" t="n">
        <f aca="false">APORTE</f>
        <v>1000</v>
      </c>
      <c r="E341" s="32" t="n">
        <f aca="false">C341*TAXA_MENSAL</f>
        <v>14370.6839344839</v>
      </c>
      <c r="F341" s="32" t="n">
        <f aca="false">C341+D341+E341</f>
        <v>1811706.17574497</v>
      </c>
      <c r="G341" s="32" t="n">
        <f aca="false">F341*DY_MENSAL</f>
        <v>12681.9432302148</v>
      </c>
      <c r="H341" s="32" t="n">
        <f aca="false">H340+D341</f>
        <v>344000</v>
      </c>
    </row>
    <row r="342" customFormat="false" ht="15" hidden="false" customHeight="false" outlineLevel="0" collapsed="false">
      <c r="A342" s="33" t="n">
        <v>340</v>
      </c>
      <c r="B342" s="33" t="n">
        <f aca="false">ROUNDUP(A342/12,0)</f>
        <v>29</v>
      </c>
      <c r="C342" s="34" t="n">
        <f aca="false">F341</f>
        <v>1811706.17574497</v>
      </c>
      <c r="D342" s="34" t="n">
        <f aca="false">APORTE</f>
        <v>1000</v>
      </c>
      <c r="E342" s="34" t="n">
        <f aca="false">C342*TAXA_MENSAL</f>
        <v>14493.6494059598</v>
      </c>
      <c r="F342" s="34" t="n">
        <f aca="false">C342+D342+E342</f>
        <v>1827199.82515093</v>
      </c>
      <c r="G342" s="34" t="n">
        <f aca="false">F342*DY_MENSAL</f>
        <v>12790.3987760565</v>
      </c>
      <c r="H342" s="34" t="n">
        <f aca="false">H341+D342</f>
        <v>345000</v>
      </c>
    </row>
    <row r="343" customFormat="false" ht="15" hidden="false" customHeight="false" outlineLevel="0" collapsed="false">
      <c r="A343" s="31" t="n">
        <v>341</v>
      </c>
      <c r="B343" s="31" t="n">
        <f aca="false">ROUNDUP(A343/12,0)</f>
        <v>29</v>
      </c>
      <c r="C343" s="32" t="n">
        <f aca="false">F342</f>
        <v>1827199.82515093</v>
      </c>
      <c r="D343" s="32" t="n">
        <f aca="false">APORTE</f>
        <v>1000</v>
      </c>
      <c r="E343" s="32" t="n">
        <f aca="false">C343*TAXA_MENSAL</f>
        <v>14617.5986012074</v>
      </c>
      <c r="F343" s="32" t="n">
        <f aca="false">C343+D343+E343</f>
        <v>1842817.42375214</v>
      </c>
      <c r="G343" s="32" t="n">
        <f aca="false">F343*DY_MENSAL</f>
        <v>12899.721966265</v>
      </c>
      <c r="H343" s="32" t="n">
        <f aca="false">H342+D343</f>
        <v>346000</v>
      </c>
    </row>
    <row r="344" customFormat="false" ht="15" hidden="false" customHeight="false" outlineLevel="0" collapsed="false">
      <c r="A344" s="33" t="n">
        <v>342</v>
      </c>
      <c r="B344" s="33" t="n">
        <f aca="false">ROUNDUP(A344/12,0)</f>
        <v>29</v>
      </c>
      <c r="C344" s="34" t="n">
        <f aca="false">F343</f>
        <v>1842817.42375214</v>
      </c>
      <c r="D344" s="34" t="n">
        <f aca="false">APORTE</f>
        <v>1000</v>
      </c>
      <c r="E344" s="34" t="n">
        <f aca="false">C344*TAXA_MENSAL</f>
        <v>14742.5393900171</v>
      </c>
      <c r="F344" s="34" t="n">
        <f aca="false">C344+D344+E344</f>
        <v>1858559.96314215</v>
      </c>
      <c r="G344" s="34" t="n">
        <f aca="false">F344*DY_MENSAL</f>
        <v>13009.9197419951</v>
      </c>
      <c r="H344" s="34" t="n">
        <f aca="false">H343+D344</f>
        <v>347000</v>
      </c>
    </row>
    <row r="345" customFormat="false" ht="15" hidden="false" customHeight="false" outlineLevel="0" collapsed="false">
      <c r="A345" s="31" t="n">
        <v>343</v>
      </c>
      <c r="B345" s="31" t="n">
        <f aca="false">ROUNDUP(A345/12,0)</f>
        <v>29</v>
      </c>
      <c r="C345" s="32" t="n">
        <f aca="false">F344</f>
        <v>1858559.96314215</v>
      </c>
      <c r="D345" s="32" t="n">
        <f aca="false">APORTE</f>
        <v>1000</v>
      </c>
      <c r="E345" s="32" t="n">
        <f aca="false">C345*TAXA_MENSAL</f>
        <v>14868.4797051372</v>
      </c>
      <c r="F345" s="32" t="n">
        <f aca="false">C345+D345+E345</f>
        <v>1874428.44284729</v>
      </c>
      <c r="G345" s="32" t="n">
        <f aca="false">F345*DY_MENSAL</f>
        <v>13120.999099931</v>
      </c>
      <c r="H345" s="32" t="n">
        <f aca="false">H344+D345</f>
        <v>348000</v>
      </c>
    </row>
    <row r="346" customFormat="false" ht="15" hidden="false" customHeight="false" outlineLevel="0" collapsed="false">
      <c r="A346" s="33" t="n">
        <v>344</v>
      </c>
      <c r="B346" s="33" t="n">
        <f aca="false">ROUNDUP(A346/12,0)</f>
        <v>29</v>
      </c>
      <c r="C346" s="34" t="n">
        <f aca="false">F345</f>
        <v>1874428.44284729</v>
      </c>
      <c r="D346" s="34" t="n">
        <f aca="false">APORTE</f>
        <v>1000</v>
      </c>
      <c r="E346" s="34" t="n">
        <f aca="false">C346*TAXA_MENSAL</f>
        <v>14995.4275427783</v>
      </c>
      <c r="F346" s="34" t="n">
        <f aca="false">C346+D346+E346</f>
        <v>1890423.87039007</v>
      </c>
      <c r="G346" s="34" t="n">
        <f aca="false">F346*DY_MENSAL</f>
        <v>13232.9670927305</v>
      </c>
      <c r="H346" s="34" t="n">
        <f aca="false">H345+D346</f>
        <v>349000</v>
      </c>
    </row>
    <row r="347" customFormat="false" ht="15" hidden="false" customHeight="false" outlineLevel="0" collapsed="false">
      <c r="A347" s="31" t="n">
        <v>345</v>
      </c>
      <c r="B347" s="31" t="n">
        <f aca="false">ROUNDUP(A347/12,0)</f>
        <v>29</v>
      </c>
      <c r="C347" s="32" t="n">
        <f aca="false">F346</f>
        <v>1890423.87039007</v>
      </c>
      <c r="D347" s="32" t="n">
        <f aca="false">APORTE</f>
        <v>1000</v>
      </c>
      <c r="E347" s="32" t="n">
        <f aca="false">C347*TAXA_MENSAL</f>
        <v>15123.3909631206</v>
      </c>
      <c r="F347" s="32" t="n">
        <f aca="false">C347+D347+E347</f>
        <v>1906547.26135319</v>
      </c>
      <c r="G347" s="32" t="n">
        <f aca="false">F347*DY_MENSAL</f>
        <v>13345.8308294723</v>
      </c>
      <c r="H347" s="32" t="n">
        <f aca="false">H346+D347</f>
        <v>350000</v>
      </c>
    </row>
    <row r="348" customFormat="false" ht="15" hidden="false" customHeight="false" outlineLevel="0" collapsed="false">
      <c r="A348" s="33" t="n">
        <v>346</v>
      </c>
      <c r="B348" s="33" t="n">
        <f aca="false">ROUNDUP(A348/12,0)</f>
        <v>29</v>
      </c>
      <c r="C348" s="34" t="n">
        <f aca="false">F347</f>
        <v>1906547.26135319</v>
      </c>
      <c r="D348" s="34" t="n">
        <f aca="false">APORTE</f>
        <v>1000</v>
      </c>
      <c r="E348" s="34" t="n">
        <f aca="false">C348*TAXA_MENSAL</f>
        <v>15252.3780908255</v>
      </c>
      <c r="F348" s="34" t="n">
        <f aca="false">C348+D348+E348</f>
        <v>1922799.63944402</v>
      </c>
      <c r="G348" s="34" t="n">
        <f aca="false">F348*DY_MENSAL</f>
        <v>13459.5974761081</v>
      </c>
      <c r="H348" s="34" t="n">
        <f aca="false">H347+D348</f>
        <v>351000</v>
      </c>
    </row>
    <row r="349" customFormat="false" ht="15" hidden="false" customHeight="false" outlineLevel="0" collapsed="false">
      <c r="A349" s="31" t="n">
        <v>347</v>
      </c>
      <c r="B349" s="31" t="n">
        <f aca="false">ROUNDUP(A349/12,0)</f>
        <v>29</v>
      </c>
      <c r="C349" s="32" t="n">
        <f aca="false">F348</f>
        <v>1922799.63944402</v>
      </c>
      <c r="D349" s="32" t="n">
        <f aca="false">APORTE</f>
        <v>1000</v>
      </c>
      <c r="E349" s="32" t="n">
        <f aca="false">C349*TAXA_MENSAL</f>
        <v>15382.3971155521</v>
      </c>
      <c r="F349" s="32" t="n">
        <f aca="false">C349+D349+E349</f>
        <v>1939182.03655957</v>
      </c>
      <c r="G349" s="32" t="n">
        <f aca="false">F349*DY_MENSAL</f>
        <v>13574.274255917</v>
      </c>
      <c r="H349" s="32" t="n">
        <f aca="false">H348+D349</f>
        <v>352000</v>
      </c>
    </row>
    <row r="350" customFormat="false" ht="15" hidden="false" customHeight="false" outlineLevel="0" collapsed="false">
      <c r="A350" s="33" t="n">
        <v>348</v>
      </c>
      <c r="B350" s="33" t="n">
        <f aca="false">ROUNDUP(A350/12,0)</f>
        <v>29</v>
      </c>
      <c r="C350" s="34" t="n">
        <f aca="false">F349</f>
        <v>1939182.03655957</v>
      </c>
      <c r="D350" s="34" t="n">
        <f aca="false">APORTE</f>
        <v>1000</v>
      </c>
      <c r="E350" s="34" t="n">
        <f aca="false">C350*TAXA_MENSAL</f>
        <v>15513.4562924765</v>
      </c>
      <c r="F350" s="34" t="n">
        <f aca="false">C350+D350+E350</f>
        <v>1955695.49285205</v>
      </c>
      <c r="G350" s="34" t="n">
        <f aca="false">F350*DY_MENSAL</f>
        <v>13689.8684499643</v>
      </c>
      <c r="H350" s="34" t="n">
        <f aca="false">H349+D350</f>
        <v>353000</v>
      </c>
    </row>
    <row r="351" customFormat="false" ht="15" hidden="false" customHeight="false" outlineLevel="0" collapsed="false">
      <c r="A351" s="31" t="n">
        <v>349</v>
      </c>
      <c r="B351" s="31" t="n">
        <f aca="false">ROUNDUP(A351/12,0)</f>
        <v>30</v>
      </c>
      <c r="C351" s="32" t="n">
        <f aca="false">F350</f>
        <v>1955695.49285205</v>
      </c>
      <c r="D351" s="32" t="n">
        <f aca="false">APORTE</f>
        <v>1000</v>
      </c>
      <c r="E351" s="32" t="n">
        <f aca="false">C351*TAXA_MENSAL</f>
        <v>15645.5639428164</v>
      </c>
      <c r="F351" s="32" t="n">
        <f aca="false">C351+D351+E351</f>
        <v>1972341.05679486</v>
      </c>
      <c r="G351" s="32" t="n">
        <f aca="false">F351*DY_MENSAL</f>
        <v>13806.387397564</v>
      </c>
      <c r="H351" s="32" t="n">
        <f aca="false">H350+D351</f>
        <v>354000</v>
      </c>
    </row>
    <row r="352" customFormat="false" ht="15" hidden="false" customHeight="false" outlineLevel="0" collapsed="false">
      <c r="A352" s="33" t="n">
        <v>350</v>
      </c>
      <c r="B352" s="33" t="n">
        <f aca="false">ROUNDUP(A352/12,0)</f>
        <v>30</v>
      </c>
      <c r="C352" s="34" t="n">
        <f aca="false">F351</f>
        <v>1972341.05679486</v>
      </c>
      <c r="D352" s="34" t="n">
        <f aca="false">APORTE</f>
        <v>1000</v>
      </c>
      <c r="E352" s="34" t="n">
        <f aca="false">C352*TAXA_MENSAL</f>
        <v>15778.7284543589</v>
      </c>
      <c r="F352" s="34" t="n">
        <f aca="false">C352+D352+E352</f>
        <v>1989119.78524922</v>
      </c>
      <c r="G352" s="34" t="n">
        <f aca="false">F352*DY_MENSAL</f>
        <v>13923.8384967445</v>
      </c>
      <c r="H352" s="34" t="n">
        <f aca="false">H351+D352</f>
        <v>355000</v>
      </c>
    </row>
    <row r="353" customFormat="false" ht="15" hidden="false" customHeight="false" outlineLevel="0" collapsed="false">
      <c r="A353" s="31" t="n">
        <v>351</v>
      </c>
      <c r="B353" s="31" t="n">
        <f aca="false">ROUNDUP(A353/12,0)</f>
        <v>30</v>
      </c>
      <c r="C353" s="32" t="n">
        <f aca="false">F352</f>
        <v>1989119.78524922</v>
      </c>
      <c r="D353" s="32" t="n">
        <f aca="false">APORTE</f>
        <v>1000</v>
      </c>
      <c r="E353" s="32" t="n">
        <f aca="false">C353*TAXA_MENSAL</f>
        <v>15912.9582819938</v>
      </c>
      <c r="F353" s="32" t="n">
        <f aca="false">C353+D353+E353</f>
        <v>2006032.74353121</v>
      </c>
      <c r="G353" s="32" t="n">
        <f aca="false">F353*DY_MENSAL</f>
        <v>14042.2292047185</v>
      </c>
      <c r="H353" s="32" t="n">
        <f aca="false">H352+D353</f>
        <v>356000</v>
      </c>
    </row>
    <row r="354" customFormat="false" ht="15" hidden="false" customHeight="false" outlineLevel="0" collapsed="false">
      <c r="A354" s="33" t="n">
        <v>352</v>
      </c>
      <c r="B354" s="33" t="n">
        <f aca="false">ROUNDUP(A354/12,0)</f>
        <v>30</v>
      </c>
      <c r="C354" s="34" t="n">
        <f aca="false">F353</f>
        <v>2006032.74353121</v>
      </c>
      <c r="D354" s="34" t="n">
        <f aca="false">APORTE</f>
        <v>1000</v>
      </c>
      <c r="E354" s="34" t="n">
        <f aca="false">C354*TAXA_MENSAL</f>
        <v>16048.2619482497</v>
      </c>
      <c r="F354" s="34" t="n">
        <f aca="false">C354+D354+E354</f>
        <v>2023081.00547946</v>
      </c>
      <c r="G354" s="34" t="n">
        <f aca="false">F354*DY_MENSAL</f>
        <v>14161.5670383562</v>
      </c>
      <c r="H354" s="34" t="n">
        <f aca="false">H353+D354</f>
        <v>357000</v>
      </c>
    </row>
    <row r="355" customFormat="false" ht="15" hidden="false" customHeight="false" outlineLevel="0" collapsed="false">
      <c r="A355" s="31" t="n">
        <v>353</v>
      </c>
      <c r="B355" s="31" t="n">
        <f aca="false">ROUNDUP(A355/12,0)</f>
        <v>30</v>
      </c>
      <c r="C355" s="32" t="n">
        <f aca="false">F354</f>
        <v>2023081.00547946</v>
      </c>
      <c r="D355" s="32" t="n">
        <f aca="false">APORTE</f>
        <v>1000</v>
      </c>
      <c r="E355" s="32" t="n">
        <f aca="false">C355*TAXA_MENSAL</f>
        <v>16184.6480438357</v>
      </c>
      <c r="F355" s="32" t="n">
        <f aca="false">C355+D355+E355</f>
        <v>2040265.6535233</v>
      </c>
      <c r="G355" s="32" t="n">
        <f aca="false">F355*DY_MENSAL</f>
        <v>14281.8595746631</v>
      </c>
      <c r="H355" s="32" t="n">
        <f aca="false">H354+D355</f>
        <v>358000</v>
      </c>
    </row>
    <row r="356" customFormat="false" ht="15" hidden="false" customHeight="false" outlineLevel="0" collapsed="false">
      <c r="A356" s="33" t="n">
        <v>354</v>
      </c>
      <c r="B356" s="33" t="n">
        <f aca="false">ROUNDUP(A356/12,0)</f>
        <v>30</v>
      </c>
      <c r="C356" s="34" t="n">
        <f aca="false">F355</f>
        <v>2040265.6535233</v>
      </c>
      <c r="D356" s="34" t="n">
        <f aca="false">APORTE</f>
        <v>1000</v>
      </c>
      <c r="E356" s="34" t="n">
        <f aca="false">C356*TAXA_MENSAL</f>
        <v>16322.1252281864</v>
      </c>
      <c r="F356" s="34" t="n">
        <f aca="false">C356+D356+E356</f>
        <v>2057587.77875149</v>
      </c>
      <c r="G356" s="34" t="n">
        <f aca="false">F356*DY_MENSAL</f>
        <v>14403.1144512604</v>
      </c>
      <c r="H356" s="34" t="n">
        <f aca="false">H355+D356</f>
        <v>359000</v>
      </c>
    </row>
    <row r="357" customFormat="false" ht="15" hidden="false" customHeight="false" outlineLevel="0" collapsed="false">
      <c r="A357" s="31" t="n">
        <v>355</v>
      </c>
      <c r="B357" s="31" t="n">
        <f aca="false">ROUNDUP(A357/12,0)</f>
        <v>30</v>
      </c>
      <c r="C357" s="32" t="n">
        <f aca="false">F356</f>
        <v>2057587.77875149</v>
      </c>
      <c r="D357" s="32" t="n">
        <f aca="false">APORTE</f>
        <v>1000</v>
      </c>
      <c r="E357" s="32" t="n">
        <f aca="false">C357*TAXA_MENSAL</f>
        <v>16460.7022300119</v>
      </c>
      <c r="F357" s="32" t="n">
        <f aca="false">C357+D357+E357</f>
        <v>2075048.4809815</v>
      </c>
      <c r="G357" s="32" t="n">
        <f aca="false">F357*DY_MENSAL</f>
        <v>14525.3393668705</v>
      </c>
      <c r="H357" s="32" t="n">
        <f aca="false">H356+D357</f>
        <v>360000</v>
      </c>
    </row>
    <row r="358" customFormat="false" ht="15" hidden="false" customHeight="false" outlineLevel="0" collapsed="false">
      <c r="A358" s="33" t="n">
        <v>356</v>
      </c>
      <c r="B358" s="33" t="n">
        <f aca="false">ROUNDUP(A358/12,0)</f>
        <v>30</v>
      </c>
      <c r="C358" s="34" t="n">
        <f aca="false">F357</f>
        <v>2075048.4809815</v>
      </c>
      <c r="D358" s="34" t="n">
        <f aca="false">APORTE</f>
        <v>1000</v>
      </c>
      <c r="E358" s="34" t="n">
        <f aca="false">C358*TAXA_MENSAL</f>
        <v>16600.387847852</v>
      </c>
      <c r="F358" s="34" t="n">
        <f aca="false">C358+D358+E358</f>
        <v>2092648.86882935</v>
      </c>
      <c r="G358" s="34" t="n">
        <f aca="false">F358*DY_MENSAL</f>
        <v>14648.5420818054</v>
      </c>
      <c r="H358" s="34" t="n">
        <f aca="false">H357+D358</f>
        <v>361000</v>
      </c>
    </row>
    <row r="359" customFormat="false" ht="15" hidden="false" customHeight="false" outlineLevel="0" collapsed="false">
      <c r="A359" s="31" t="n">
        <v>357</v>
      </c>
      <c r="B359" s="31" t="n">
        <f aca="false">ROUNDUP(A359/12,0)</f>
        <v>30</v>
      </c>
      <c r="C359" s="32" t="n">
        <f aca="false">F358</f>
        <v>2092648.86882935</v>
      </c>
      <c r="D359" s="32" t="n">
        <f aca="false">APORTE</f>
        <v>1000</v>
      </c>
      <c r="E359" s="32" t="n">
        <f aca="false">C359*TAXA_MENSAL</f>
        <v>16741.1909506348</v>
      </c>
      <c r="F359" s="32" t="n">
        <f aca="false">C359+D359+E359</f>
        <v>2110390.05977998</v>
      </c>
      <c r="G359" s="32" t="n">
        <f aca="false">F359*DY_MENSAL</f>
        <v>14772.7304184599</v>
      </c>
      <c r="H359" s="32" t="n">
        <f aca="false">H358+D359</f>
        <v>362000</v>
      </c>
    </row>
    <row r="360" customFormat="false" ht="15" hidden="false" customHeight="false" outlineLevel="0" collapsed="false">
      <c r="A360" s="33" t="n">
        <v>358</v>
      </c>
      <c r="B360" s="33" t="n">
        <f aca="false">ROUNDUP(A360/12,0)</f>
        <v>30</v>
      </c>
      <c r="C360" s="34" t="n">
        <f aca="false">F359</f>
        <v>2110390.05977998</v>
      </c>
      <c r="D360" s="34" t="n">
        <f aca="false">APORTE</f>
        <v>1000</v>
      </c>
      <c r="E360" s="34" t="n">
        <f aca="false">C360*TAXA_MENSAL</f>
        <v>16883.1204782399</v>
      </c>
      <c r="F360" s="34" t="n">
        <f aca="false">C360+D360+E360</f>
        <v>2128273.18025822</v>
      </c>
      <c r="G360" s="34" t="n">
        <f aca="false">F360*DY_MENSAL</f>
        <v>14897.9122618076</v>
      </c>
      <c r="H360" s="34" t="n">
        <f aca="false">H359+D360</f>
        <v>363000</v>
      </c>
    </row>
    <row r="361" customFormat="false" ht="15" hidden="false" customHeight="false" outlineLevel="0" collapsed="false">
      <c r="A361" s="31" t="n">
        <v>359</v>
      </c>
      <c r="B361" s="31" t="n">
        <f aca="false">ROUNDUP(A361/12,0)</f>
        <v>30</v>
      </c>
      <c r="C361" s="32" t="n">
        <f aca="false">F360</f>
        <v>2128273.18025822</v>
      </c>
      <c r="D361" s="32" t="n">
        <f aca="false">APORTE</f>
        <v>1000</v>
      </c>
      <c r="E361" s="32" t="n">
        <f aca="false">C361*TAXA_MENSAL</f>
        <v>17026.1854420658</v>
      </c>
      <c r="F361" s="32" t="n">
        <f aca="false">C361+D361+E361</f>
        <v>2146299.36570029</v>
      </c>
      <c r="G361" s="32" t="n">
        <f aca="false">F361*DY_MENSAL</f>
        <v>15024.095559902</v>
      </c>
      <c r="H361" s="32" t="n">
        <f aca="false">H360+D361</f>
        <v>364000</v>
      </c>
    </row>
    <row r="362" customFormat="false" ht="15" hidden="false" customHeight="false" outlineLevel="0" collapsed="false">
      <c r="A362" s="33" t="n">
        <v>360</v>
      </c>
      <c r="B362" s="33" t="n">
        <f aca="false">ROUNDUP(A362/12,0)</f>
        <v>30</v>
      </c>
      <c r="C362" s="34" t="n">
        <f aca="false">F361</f>
        <v>2146299.36570029</v>
      </c>
      <c r="D362" s="34" t="n">
        <f aca="false">APORTE</f>
        <v>1000</v>
      </c>
      <c r="E362" s="34" t="n">
        <f aca="false">C362*TAXA_MENSAL</f>
        <v>17170.3949256023</v>
      </c>
      <c r="F362" s="34" t="n">
        <f aca="false">C362+D362+E362</f>
        <v>2164469.76062589</v>
      </c>
      <c r="G362" s="34" t="n">
        <f aca="false">F362*DY_MENSAL</f>
        <v>15151.2883243812</v>
      </c>
      <c r="H362" s="34" t="n">
        <f aca="false">H361+D362</f>
        <v>365000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7CB1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30" t="s">
        <v>50</v>
      </c>
      <c r="B1" s="30"/>
      <c r="C1" s="30"/>
      <c r="D1" s="30"/>
      <c r="E1" s="30"/>
      <c r="F1" s="30"/>
      <c r="G1" s="30"/>
      <c r="H1" s="30"/>
    </row>
    <row r="2" customFormat="false" ht="18" hidden="false" customHeight="true" outlineLevel="0" collapsed="false">
      <c r="A2" s="35" t="s">
        <v>51</v>
      </c>
      <c r="B2" s="35"/>
      <c r="C2" s="35"/>
      <c r="D2" s="35"/>
      <c r="E2" s="35"/>
      <c r="F2" s="35"/>
      <c r="G2" s="35"/>
      <c r="H2" s="35"/>
    </row>
    <row r="3" customFormat="false" ht="19.5" hidden="false" customHeight="true" outlineLevel="0" collapsed="false">
      <c r="A3" s="36" t="s">
        <v>52</v>
      </c>
      <c r="B3" s="36"/>
      <c r="C3" s="36"/>
      <c r="D3" s="36"/>
      <c r="E3" s="36"/>
      <c r="F3" s="36"/>
      <c r="G3" s="36"/>
      <c r="H3" s="36"/>
    </row>
    <row r="4" customFormat="false" ht="27.75" hidden="false" customHeight="true" outlineLevel="0" collapsed="false">
      <c r="A4" s="18" t="s">
        <v>53</v>
      </c>
      <c r="B4" s="18" t="s">
        <v>32</v>
      </c>
      <c r="C4" s="18" t="s">
        <v>33</v>
      </c>
      <c r="D4" s="18" t="s">
        <v>34</v>
      </c>
      <c r="E4" s="18" t="s">
        <v>35</v>
      </c>
      <c r="F4" s="18" t="s">
        <v>36</v>
      </c>
      <c r="G4" s="18" t="s">
        <v>37</v>
      </c>
      <c r="H4" s="18" t="s">
        <v>54</v>
      </c>
    </row>
    <row r="5" customFormat="false" ht="18.75" hidden="false" customHeight="true" outlineLevel="0" collapsed="false">
      <c r="A5" s="37" t="s">
        <v>55</v>
      </c>
      <c r="B5" s="38" t="n">
        <v>0.4</v>
      </c>
      <c r="C5" s="38" t="n">
        <v>0.25</v>
      </c>
      <c r="D5" s="38" t="n">
        <v>0.15</v>
      </c>
      <c r="E5" s="38" t="n">
        <v>0.1</v>
      </c>
      <c r="F5" s="38" t="n">
        <v>0.05</v>
      </c>
      <c r="G5" s="38" t="n">
        <v>0.05</v>
      </c>
      <c r="H5" s="39" t="n">
        <f aca="false">SUM(B5:G5)</f>
        <v>1</v>
      </c>
    </row>
    <row r="6" customFormat="false" ht="18.75" hidden="false" customHeight="true" outlineLevel="0" collapsed="false">
      <c r="A6" s="37" t="s">
        <v>20</v>
      </c>
      <c r="B6" s="38" t="n">
        <v>0.25</v>
      </c>
      <c r="C6" s="38" t="n">
        <v>0.25</v>
      </c>
      <c r="D6" s="38" t="n">
        <v>0.2</v>
      </c>
      <c r="E6" s="38" t="n">
        <v>0.15</v>
      </c>
      <c r="F6" s="38" t="n">
        <v>0.1</v>
      </c>
      <c r="G6" s="38" t="n">
        <v>0.05</v>
      </c>
      <c r="H6" s="39" t="n">
        <f aca="false">SUM(B6:G6)</f>
        <v>1</v>
      </c>
    </row>
    <row r="7" customFormat="false" ht="18.75" hidden="false" customHeight="true" outlineLevel="0" collapsed="false">
      <c r="A7" s="37" t="s">
        <v>56</v>
      </c>
      <c r="B7" s="38" t="n">
        <v>0.15</v>
      </c>
      <c r="C7" s="38" t="n">
        <v>0.2</v>
      </c>
      <c r="D7" s="38" t="n">
        <v>0.15</v>
      </c>
      <c r="E7" s="38" t="n">
        <v>0.1</v>
      </c>
      <c r="F7" s="38" t="n">
        <v>0.25</v>
      </c>
      <c r="G7" s="38" t="n">
        <v>0.15</v>
      </c>
      <c r="H7" s="39" t="n">
        <f aca="false">SUM(B7:G7)</f>
        <v>1</v>
      </c>
    </row>
    <row r="9" customFormat="false" ht="15" hidden="false" customHeight="false" outlineLevel="0" collapsed="false">
      <c r="A9" s="40" t="s">
        <v>57</v>
      </c>
      <c r="B9" s="40"/>
      <c r="C9" s="40"/>
      <c r="D9" s="40"/>
      <c r="E9" s="40"/>
      <c r="F9" s="40"/>
      <c r="G9" s="40"/>
      <c r="H9" s="40"/>
    </row>
    <row r="11" customFormat="false" ht="19.5" hidden="false" customHeight="true" outlineLevel="0" collapsed="false">
      <c r="A11" s="41" t="s">
        <v>58</v>
      </c>
      <c r="B11" s="41"/>
      <c r="C11" s="41"/>
      <c r="D11" s="41"/>
      <c r="E11" s="41"/>
      <c r="F11" s="41"/>
      <c r="G11" s="41"/>
      <c r="H11" s="41"/>
    </row>
    <row r="12" customFormat="false" ht="16.5" hidden="false" customHeight="true" outlineLevel="0" collapsed="false">
      <c r="A12" s="42" t="s">
        <v>32</v>
      </c>
      <c r="B12" s="43" t="s">
        <v>59</v>
      </c>
      <c r="C12" s="43"/>
      <c r="D12" s="43"/>
      <c r="E12" s="43"/>
      <c r="F12" s="43"/>
      <c r="G12" s="43"/>
      <c r="H12" s="43"/>
    </row>
    <row r="13" customFormat="false" ht="16.5" hidden="false" customHeight="true" outlineLevel="0" collapsed="false">
      <c r="A13" s="42" t="s">
        <v>33</v>
      </c>
      <c r="B13" s="43" t="s">
        <v>60</v>
      </c>
      <c r="C13" s="43"/>
      <c r="D13" s="43"/>
      <c r="E13" s="43"/>
      <c r="F13" s="43"/>
      <c r="G13" s="43"/>
      <c r="H13" s="43"/>
    </row>
    <row r="14" customFormat="false" ht="16.5" hidden="false" customHeight="true" outlineLevel="0" collapsed="false">
      <c r="A14" s="42" t="s">
        <v>34</v>
      </c>
      <c r="B14" s="43" t="s">
        <v>61</v>
      </c>
      <c r="C14" s="43"/>
      <c r="D14" s="43"/>
      <c r="E14" s="43"/>
      <c r="F14" s="43"/>
      <c r="G14" s="43"/>
      <c r="H14" s="43"/>
    </row>
    <row r="15" customFormat="false" ht="16.5" hidden="false" customHeight="true" outlineLevel="0" collapsed="false">
      <c r="A15" s="42" t="s">
        <v>35</v>
      </c>
      <c r="B15" s="43" t="s">
        <v>62</v>
      </c>
      <c r="C15" s="43"/>
      <c r="D15" s="43"/>
      <c r="E15" s="43"/>
      <c r="F15" s="43"/>
      <c r="G15" s="43"/>
      <c r="H15" s="43"/>
    </row>
    <row r="16" customFormat="false" ht="16.5" hidden="false" customHeight="true" outlineLevel="0" collapsed="false">
      <c r="A16" s="42" t="s">
        <v>36</v>
      </c>
      <c r="B16" s="43" t="s">
        <v>63</v>
      </c>
      <c r="C16" s="43"/>
      <c r="D16" s="43"/>
      <c r="E16" s="43"/>
      <c r="F16" s="43"/>
      <c r="G16" s="43"/>
      <c r="H16" s="43"/>
    </row>
    <row r="17" customFormat="false" ht="16.5" hidden="false" customHeight="true" outlineLevel="0" collapsed="false">
      <c r="A17" s="42" t="s">
        <v>37</v>
      </c>
      <c r="B17" s="43" t="s">
        <v>64</v>
      </c>
      <c r="C17" s="43"/>
      <c r="D17" s="43"/>
      <c r="E17" s="43"/>
      <c r="F17" s="43"/>
      <c r="G17" s="43"/>
      <c r="H17" s="43"/>
    </row>
  </sheetData>
  <mergeCells count="11">
    <mergeCell ref="A1:H1"/>
    <mergeCell ref="A2:H2"/>
    <mergeCell ref="A3:H3"/>
    <mergeCell ref="A9:H9"/>
    <mergeCell ref="A11:H11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2026-09-17T20:29:54Z</dcterms:created>
  <dc:creator>openpyxl</dc:creator>
  <dc:description/>
  <dc:language>en-US</dc:language>
  <cp:lastModifiedBy/>
  <dcterms:modified xsi:type="dcterms:W3CDTF">2026-09-17T20:29:56Z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